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<sst xmlns="http://schemas.openxmlformats.org/spreadsheetml/2006/main" count="365" uniqueCount="171">
  <si>
    <t>GPD/cap</t>
  </si>
  <si>
    <t>ВВП на душу населения</t>
  </si>
  <si>
    <t>vat</t>
  </si>
  <si>
    <t>аналог ндс</t>
  </si>
  <si>
    <t>Last Update</t>
  </si>
  <si>
    <t>Country</t>
  </si>
  <si>
    <t>New Zealand 🇳🇿</t>
  </si>
  <si>
    <t>Australia 🇦🇺</t>
  </si>
  <si>
    <t>Canada 🇨🇦</t>
  </si>
  <si>
    <t>USA 🇺🇸</t>
  </si>
  <si>
    <t>United Kingdom 🇬🇧</t>
  </si>
  <si>
    <t>Netherlands 🇳🇱</t>
  </si>
  <si>
    <t>Norway 🇳🇴</t>
  </si>
  <si>
    <t>Serbia 🇷🇸</t>
  </si>
  <si>
    <t>Poland 🇵🇱</t>
  </si>
  <si>
    <t>Russia 🇷🇺</t>
  </si>
  <si>
    <t>Belarus</t>
  </si>
  <si>
    <t>Population, kk</t>
  </si>
  <si>
    <t>Land Area, km^2</t>
  </si>
  <si>
    <t>GPD/cap, $</t>
  </si>
  <si>
    <t>min salary / h, usd</t>
  </si>
  <si>
    <t>salary tax, %</t>
  </si>
  <si>
    <t>VAT, %</t>
  </si>
  <si>
    <t>Language</t>
  </si>
  <si>
    <t>No</t>
  </si>
  <si>
    <t>Yes</t>
  </si>
  <si>
    <t>Category</t>
  </si>
  <si>
    <t>Key IT Visa</t>
  </si>
  <si>
    <t>Straight to Residence</t>
  </si>
  <si>
    <t>Skilled Independent</t>
  </si>
  <si>
    <t>Express Entry (STEM)</t>
  </si>
  <si>
    <t>L-1 / H-1B</t>
  </si>
  <si>
    <t>Skilled Worker</t>
  </si>
  <si>
    <t>HSM (Highly Skilled)</t>
  </si>
  <si>
    <t>Talent/Work Permit</t>
  </si>
  <si>
    <t>Blue Card / B2B</t>
  </si>
  <si>
    <t>Work Permit</t>
  </si>
  <si>
    <t>Na</t>
  </si>
  <si>
    <t>BY Passport Difficulty</t>
  </si>
  <si>
    <t>PR (Years) Fast Track</t>
  </si>
  <si>
    <t>PR (Years) General Path</t>
  </si>
  <si>
    <t>Citizenship (Years) Fast</t>
  </si>
  <si>
    <t>Citizenship (Years) Real</t>
  </si>
  <si>
    <t>IELTS / Language</t>
  </si>
  <si>
    <t>Salary (4-5y exp), $k</t>
  </si>
  <si>
    <t>1 Year Buffer (USD), $k</t>
  </si>
  <si>
    <t>City</t>
  </si>
  <si>
    <t>Auckland</t>
  </si>
  <si>
    <t>Wellington</t>
  </si>
  <si>
    <t>Christchurch</t>
  </si>
  <si>
    <t xml:space="preserve"> Melbourne</t>
  </si>
  <si>
    <t>Sydney</t>
  </si>
  <si>
    <t>Brisbane</t>
  </si>
  <si>
    <t>Perth</t>
  </si>
  <si>
    <t>Adelaide</t>
  </si>
  <si>
    <t>Toronto</t>
  </si>
  <si>
    <t>Montreal</t>
  </si>
  <si>
    <t>Ottawa</t>
  </si>
  <si>
    <t>Chicago</t>
  </si>
  <si>
    <t>Philadelphia</t>
  </si>
  <si>
    <t>San Diego</t>
  </si>
  <si>
    <t>Dallas</t>
  </si>
  <si>
    <t>Austin</t>
  </si>
  <si>
    <t>Seattle</t>
  </si>
  <si>
    <t>Birmingham</t>
  </si>
  <si>
    <t>Liverpool</t>
  </si>
  <si>
    <t>Southhampton</t>
  </si>
  <si>
    <t>Manchester</t>
  </si>
  <si>
    <t>Amsterdam</t>
  </si>
  <si>
    <t>Rotterdam</t>
  </si>
  <si>
    <t>Oslo</t>
  </si>
  <si>
    <t>Belgrade</t>
  </si>
  <si>
    <t>Warsaw</t>
  </si>
  <si>
    <t>Krakow</t>
  </si>
  <si>
    <t>Lodz</t>
  </si>
  <si>
    <t>Gdansk</t>
  </si>
  <si>
    <t>Moscow</t>
  </si>
  <si>
    <t>Minsk</t>
  </si>
  <si>
    <t>Captial</t>
  </si>
  <si>
    <t>Immigrants, %</t>
  </si>
  <si>
    <t>Sunny days, %</t>
  </si>
  <si>
    <t>Rainy days, %</t>
  </si>
  <si>
    <t>Avg Summer temp</t>
  </si>
  <si>
    <t>Avg Winter temp</t>
  </si>
  <si>
    <t>Crime index</t>
  </si>
  <si>
    <t>Safety</t>
  </si>
  <si>
    <t>Quality of life</t>
  </si>
  <si>
    <t>Purch, power</t>
  </si>
  <si>
    <t>Health care</t>
  </si>
  <si>
    <t>Cost of living</t>
  </si>
  <si>
    <t>Prop, to income</t>
  </si>
  <si>
    <t>Traffic</t>
  </si>
  <si>
    <t>Pollution</t>
  </si>
  <si>
    <t>Climate</t>
  </si>
  <si>
    <t>Avg Peak UV index</t>
  </si>
  <si>
    <t>Rent Index</t>
  </si>
  <si>
    <t>Groceries Index</t>
  </si>
  <si>
    <t>Internet Speed (Mbps)</t>
  </si>
  <si>
    <t>Ocean/Sea, h</t>
  </si>
  <si>
    <t>Forest, h</t>
  </si>
  <si>
    <t>Mountains, h</t>
  </si>
  <si>
    <t>Spendings</t>
  </si>
  <si>
    <t>Groceries, USD/wk * 4,3</t>
  </si>
  <si>
    <t>Groceries, USD/wk</t>
  </si>
  <si>
    <t>milk, l</t>
  </si>
  <si>
    <t>white bread,  0,5kg</t>
  </si>
  <si>
    <t>eggs, 12</t>
  </si>
  <si>
    <t>cheese, kg</t>
  </si>
  <si>
    <t>bottled of watter, 1,5l</t>
  </si>
  <si>
    <t>chicken filltets, kg</t>
  </si>
  <si>
    <t>apples, kg</t>
  </si>
  <si>
    <t>oranges, kg</t>
  </si>
  <si>
    <t>potatoes, kg</t>
  </si>
  <si>
    <t>lettuce, 1 head</t>
  </si>
  <si>
    <t>rice, kg</t>
  </si>
  <si>
    <t>tomatoes, kg</t>
  </si>
  <si>
    <t>bananas, kg</t>
  </si>
  <si>
    <t>onions, kg</t>
  </si>
  <si>
    <t>beef, kg</t>
  </si>
  <si>
    <t>Transport, USD/mo</t>
  </si>
  <si>
    <t>one way ticket</t>
  </si>
  <si>
    <t>public transport pass, mo</t>
  </si>
  <si>
    <t>taxi start</t>
  </si>
  <si>
    <t>taxi, 1km</t>
  </si>
  <si>
    <t>gasoline, l</t>
  </si>
  <si>
    <t>VF Golf 1,5</t>
  </si>
  <si>
    <t>Toyoyta Corolla Sedan 1,6</t>
  </si>
  <si>
    <t>Restaurant, USD/mo</t>
  </si>
  <si>
    <t>meal at an inexp.rest.</t>
  </si>
  <si>
    <t>meal for two at a mid rest.</t>
  </si>
  <si>
    <t>combo at mcdonald's</t>
  </si>
  <si>
    <t>soft-drink</t>
  </si>
  <si>
    <t>cappuccino</t>
  </si>
  <si>
    <t>Sports and Leisure</t>
  </si>
  <si>
    <t>Sports and Leisure, USD/mo</t>
  </si>
  <si>
    <t>fitness club, mo</t>
  </si>
  <si>
    <t>cinema ticket</t>
  </si>
  <si>
    <t>Clothing and Shoes, 2 pairs/year / 12</t>
  </si>
  <si>
    <t>Clothing and Shoes</t>
  </si>
  <si>
    <t>jeans</t>
  </si>
  <si>
    <t>men's leather business shoes</t>
  </si>
  <si>
    <t>nike running shoes</t>
  </si>
  <si>
    <t>summer dress</t>
  </si>
  <si>
    <t>Rent, USD/mo</t>
  </si>
  <si>
    <t>1 bed. ap. in city centre</t>
  </si>
  <si>
    <t>1 bed. ap. out. city centre</t>
  </si>
  <si>
    <t>3 bed. ap. in city centre</t>
  </si>
  <si>
    <t>3 bed. ap. out. city centre</t>
  </si>
  <si>
    <t>Utilites, USD/mo</t>
  </si>
  <si>
    <t>electr, heating, cooling, water, garbage, etc</t>
  </si>
  <si>
    <t>Internet (unlim,  &gt;= 60Mpbs )</t>
  </si>
  <si>
    <t>mobile phone (calls + 10GB+ Data)</t>
  </si>
  <si>
    <t>Total Base / 1 people, USD/mo</t>
  </si>
  <si>
    <t>Total All / 1 people, USD/mo</t>
  </si>
  <si>
    <t>Total Base / 2 people, USD/mo</t>
  </si>
  <si>
    <t>Total All / 2 people, USD/mo</t>
  </si>
  <si>
    <t>Avg Salary, USD/mo</t>
  </si>
  <si>
    <t>Avg Salary Dev, USD/mo</t>
  </si>
  <si>
    <t xml:space="preserve">Saving base 1 people on Avg salary, USD/mo </t>
  </si>
  <si>
    <t xml:space="preserve">Saving base 1 people on Avg Dev salary, USD/mo </t>
  </si>
  <si>
    <t xml:space="preserve">Saving all 1 people on Avg salary, USD/mo </t>
  </si>
  <si>
    <t xml:space="preserve">Saving all 1 people on Avg Dev salary, USD/mo </t>
  </si>
  <si>
    <t xml:space="preserve">Saving base 2 people on Avg Dev salary, USD/mo </t>
  </si>
  <si>
    <t xml:space="preserve">Saving base 2 people on Avg Dev + Des salary, USD/mo </t>
  </si>
  <si>
    <t xml:space="preserve">Saving all 2 people on Avg Dev salary, USD/mo </t>
  </si>
  <si>
    <t xml:space="preserve">Saving all 2 people on Avg Dev + Des salary, USD/mo </t>
  </si>
  <si>
    <t>Buy Apartment Price in centre, 80m*m / USD</t>
  </si>
  <si>
    <t>Buy Apartment Price out. centre, 80m*m / USD</t>
  </si>
  <si>
    <t>USD/m*m in city centre</t>
  </si>
  <si>
    <t>USD/m*m out. city centre</t>
  </si>
  <si>
    <t>Interest Rate (20-Year Fixed, in 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</si>
</sst>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.mm.yyyy"/>
    <numFmt numFmtId="165" formatCode="#,##0.0"/>
    <numFmt numFmtId="166" formatCode="dd.mm"/>
    <numFmt numFmtId="167" formatCode="d.m"/>
  </numFmts>
  <fonts count="15">
    <font>
      <sz val="10.0"/>
      <color rgb="FF000000"/>
      <name val="Arial"/>
      <scheme val="minor"/>
    </font>
    <font>
      <sz val="12.0"/>
      <color theme="1"/>
      <name val="Arial"/>
      <scheme val="minor"/>
    </font>
    <font>
      <b/>
      <sz val="12.0"/>
      <color theme="1"/>
      <name val="Arial"/>
    </font>
    <font>
      <sz val="12.0"/>
      <color rgb="FF1F1F1F"/>
      <name val="&quot;Google Sans Text&quot;"/>
    </font>
    <font/>
    <font>
      <sz val="12.0"/>
      <color theme="1"/>
      <name val="Arial"/>
    </font>
    <font>
      <sz val="12.0"/>
      <color rgb="FF000000"/>
      <name val="Arial"/>
    </font>
    <font>
      <color theme="1"/>
      <name val="Arial"/>
    </font>
    <font>
      <color theme="1"/>
      <name val="Arial"/>
      <scheme val="minor"/>
    </font>
    <font>
      <b/>
      <sz val="12.0"/>
      <color rgb="FF1F1F1F"/>
      <name val="&quot;Google Sans Text&quot;"/>
    </font>
    <font>
      <sz val="12.0"/>
      <color theme="1"/>
      <name val="&quot;Google Sans Text&quot;"/>
    </font>
    <font>
      <sz val="12.0"/>
      <color theme="1"/>
      <name val="Google Sans Text"/>
    </font>
    <font>
      <sz val="12.0"/>
      <color rgb="FF000000"/>
      <name val="Arial"/>
      <scheme val="minor"/>
    </font>
    <font>
      <b/>
      <sz val="12.0"/>
      <color theme="1"/>
      <name val="Arial"/>
      <scheme val="minor"/>
    </font>
    <font>
      <b/>
      <sz val="13.0"/>
      <color rgb="FF000000"/>
      <name val="Arial"/>
    </font>
  </fonts>
  <fills count="30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C9DAF8"/>
        <bgColor rgb="FFC9DAF8"/>
      </patternFill>
    </fill>
    <fill>
      <patternFill patternType="solid">
        <fgColor rgb="FFF6B26B"/>
        <bgColor rgb="FFF6B26B"/>
      </patternFill>
    </fill>
    <fill>
      <patternFill patternType="solid">
        <fgColor rgb="FFFF00FF"/>
        <bgColor rgb="FFFF00FF"/>
      </patternFill>
    </fill>
    <fill>
      <patternFill patternType="solid">
        <fgColor rgb="FF6D9EEB"/>
        <bgColor rgb="FF6D9EEB"/>
      </patternFill>
    </fill>
    <fill>
      <patternFill patternType="solid">
        <fgColor rgb="FF00FF00"/>
        <bgColor rgb="FF00FF00"/>
      </patternFill>
    </fill>
    <fill>
      <patternFill patternType="solid">
        <fgColor rgb="FFEAD1DC"/>
        <bgColor rgb="FFEAD1DC"/>
      </patternFill>
    </fill>
    <fill>
      <patternFill patternType="solid">
        <fgColor rgb="FFFFFF00"/>
        <bgColor rgb="FFFFFF00"/>
      </patternFill>
    </fill>
    <fill>
      <patternFill patternType="solid">
        <fgColor rgb="FFB6D7A8"/>
        <bgColor rgb="FFB6D7A8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9FC5E8"/>
        <bgColor rgb="FF9FC5E8"/>
      </patternFill>
    </fill>
    <fill>
      <patternFill patternType="solid">
        <fgColor theme="0"/>
        <bgColor theme="0"/>
      </patternFill>
    </fill>
    <fill>
      <patternFill patternType="solid">
        <fgColor rgb="FFD9D9D9"/>
        <bgColor rgb="FFD9D9D9"/>
      </patternFill>
    </fill>
    <fill>
      <patternFill patternType="solid">
        <fgColor rgb="FF34A853"/>
        <bgColor rgb="FF34A853"/>
      </patternFill>
    </fill>
    <fill>
      <patternFill patternType="solid">
        <fgColor rgb="FF66B357"/>
        <bgColor rgb="FF66B357"/>
      </patternFill>
    </fill>
    <fill>
      <patternFill patternType="solid">
        <fgColor rgb="FFEA4335"/>
        <bgColor rgb="FFEA4335"/>
      </patternFill>
    </fill>
    <fill>
      <patternFill patternType="solid">
        <fgColor rgb="FFF9A656"/>
        <bgColor rgb="FFF9A656"/>
      </patternFill>
    </fill>
    <fill>
      <patternFill patternType="solid">
        <fgColor rgb="FFCCCA61"/>
        <bgColor rgb="FFCCCA61"/>
      </patternFill>
    </fill>
    <fill>
      <patternFill patternType="solid">
        <fgColor rgb="FFCCCCCC"/>
        <bgColor rgb="FFCCCCCC"/>
      </patternFill>
    </fill>
    <fill>
      <patternFill patternType="solid">
        <fgColor rgb="FFFFB84C"/>
        <bgColor rgb="FFFFB84C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F9F9F9"/>
        <bgColor rgb="FFF9F9F9"/>
      </patternFill>
    </fill>
    <fill>
      <patternFill patternType="solid">
        <fgColor rgb="FFFCE5CD"/>
        <bgColor rgb="FFFCE5CD"/>
      </patternFill>
    </fill>
    <fill>
      <patternFill patternType="solid">
        <fgColor rgb="FFB7E1CD"/>
        <bgColor rgb="FFB7E1CD"/>
      </patternFill>
    </fill>
    <fill>
      <patternFill patternType="solid">
        <fgColor rgb="FFD9EAD3"/>
        <bgColor rgb="FFD9EAD3"/>
      </patternFill>
    </fill>
    <fill>
      <patternFill patternType="solid">
        <fgColor rgb="FF0000FF"/>
        <bgColor rgb="FF0000FF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1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1" fillId="2" fontId="2" numFmtId="0" xfId="0" applyAlignment="1" applyBorder="1" applyFill="1" applyFont="1">
      <alignment horizontal="left" readingOrder="0"/>
    </xf>
    <xf borderId="2" fillId="3" fontId="3" numFmtId="0" xfId="0" applyAlignment="1" applyBorder="1" applyFill="1" applyFont="1">
      <alignment horizontal="center" readingOrder="0"/>
    </xf>
    <xf borderId="3" fillId="0" fontId="4" numFmtId="0" xfId="0" applyBorder="1" applyFont="1"/>
    <xf borderId="4" fillId="0" fontId="4" numFmtId="0" xfId="0" applyBorder="1" applyFont="1"/>
    <xf borderId="2" fillId="4" fontId="3" numFmtId="0" xfId="0" applyAlignment="1" applyBorder="1" applyFill="1" applyFont="1">
      <alignment horizontal="center" readingOrder="0"/>
    </xf>
    <xf borderId="2" fillId="5" fontId="3" numFmtId="0" xfId="0" applyAlignment="1" applyBorder="1" applyFill="1" applyFont="1">
      <alignment horizontal="center" readingOrder="0"/>
    </xf>
    <xf borderId="2" fillId="6" fontId="3" numFmtId="0" xfId="0" applyAlignment="1" applyBorder="1" applyFill="1" applyFont="1">
      <alignment horizontal="center" readingOrder="0"/>
    </xf>
    <xf borderId="2" fillId="7" fontId="3" numFmtId="0" xfId="0" applyAlignment="1" applyBorder="1" applyFill="1" applyFont="1">
      <alignment horizontal="center" readingOrder="0"/>
    </xf>
    <xf borderId="2" fillId="8" fontId="3" numFmtId="0" xfId="0" applyAlignment="1" applyBorder="1" applyFill="1" applyFont="1">
      <alignment horizontal="center" readingOrder="0"/>
    </xf>
    <xf borderId="1" fillId="9" fontId="3" numFmtId="0" xfId="0" applyAlignment="1" applyBorder="1" applyFill="1" applyFont="1">
      <alignment horizontal="center" readingOrder="0"/>
    </xf>
    <xf borderId="1" fillId="10" fontId="3" numFmtId="0" xfId="0" applyAlignment="1" applyBorder="1" applyFill="1" applyFont="1">
      <alignment horizontal="center" readingOrder="0"/>
    </xf>
    <xf borderId="2" fillId="11" fontId="3" numFmtId="0" xfId="0" applyAlignment="1" applyBorder="1" applyFill="1" applyFont="1">
      <alignment horizontal="center" readingOrder="0"/>
    </xf>
    <xf borderId="1" fillId="12" fontId="3" numFmtId="0" xfId="0" applyAlignment="1" applyBorder="1" applyFill="1" applyFont="1">
      <alignment horizontal="center" readingOrder="0"/>
    </xf>
    <xf borderId="1" fillId="13" fontId="5" numFmtId="0" xfId="0" applyAlignment="1" applyBorder="1" applyFill="1" applyFont="1">
      <alignment horizontal="center" readingOrder="0"/>
    </xf>
    <xf borderId="1" fillId="2" fontId="2" numFmtId="0" xfId="0" applyAlignment="1" applyBorder="1" applyFont="1">
      <alignment horizontal="right" readingOrder="0"/>
    </xf>
    <xf borderId="1" fillId="0" fontId="5" numFmtId="0" xfId="0" applyAlignment="1" applyBorder="1" applyFont="1">
      <alignment horizontal="left" readingOrder="0"/>
    </xf>
    <xf borderId="2" fillId="0" fontId="5" numFmtId="0" xfId="0" applyAlignment="1" applyBorder="1" applyFont="1">
      <alignment horizontal="center" readingOrder="0"/>
    </xf>
    <xf borderId="1" fillId="0" fontId="5" numFmtId="0" xfId="0" applyAlignment="1" applyBorder="1" applyFont="1">
      <alignment horizontal="center" readingOrder="0"/>
    </xf>
    <xf borderId="1" fillId="0" fontId="5" numFmtId="0" xfId="0" applyAlignment="1" applyBorder="1" applyFont="1">
      <alignment horizontal="right" readingOrder="0"/>
    </xf>
    <xf borderId="2" fillId="14" fontId="6" numFmtId="0" xfId="0" applyAlignment="1" applyBorder="1" applyFill="1" applyFont="1">
      <alignment horizontal="center" readingOrder="0"/>
    </xf>
    <xf borderId="1" fillId="14" fontId="6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left" readingOrder="0"/>
    </xf>
    <xf borderId="2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right" readingOrder="0"/>
    </xf>
    <xf borderId="0" fillId="0" fontId="7" numFmtId="0" xfId="0" applyAlignment="1" applyFont="1">
      <alignment vertical="bottom"/>
    </xf>
    <xf borderId="0" fillId="0" fontId="8" numFmtId="0" xfId="0" applyAlignment="1" applyFont="1">
      <alignment horizontal="right"/>
    </xf>
    <xf borderId="1" fillId="2" fontId="9" numFmtId="0" xfId="0" applyAlignment="1" applyBorder="1" applyFont="1">
      <alignment readingOrder="0"/>
    </xf>
    <xf borderId="1" fillId="2" fontId="9" numFmtId="0" xfId="0" applyAlignment="1" applyBorder="1" applyFont="1">
      <alignment horizontal="right" readingOrder="0"/>
    </xf>
    <xf borderId="1" fillId="0" fontId="3" numFmtId="0" xfId="0" applyAlignment="1" applyBorder="1" applyFont="1">
      <alignment horizontal="left" readingOrder="0"/>
    </xf>
    <xf borderId="2" fillId="0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readingOrder="0"/>
    </xf>
    <xf borderId="5" fillId="15" fontId="5" numFmtId="0" xfId="0" applyAlignment="1" applyBorder="1" applyFill="1" applyFont="1">
      <alignment horizontal="center" readingOrder="0" vertical="center"/>
    </xf>
    <xf borderId="1" fillId="0" fontId="3" numFmtId="0" xfId="0" applyAlignment="1" applyBorder="1" applyFont="1">
      <alignment horizontal="right" readingOrder="0"/>
    </xf>
    <xf borderId="6" fillId="0" fontId="4" numFmtId="0" xfId="0" applyBorder="1" applyFont="1"/>
    <xf borderId="1" fillId="0" fontId="10" numFmtId="0" xfId="0" applyAlignment="1" applyBorder="1" applyFont="1">
      <alignment horizontal="left" readingOrder="0"/>
    </xf>
    <xf borderId="2" fillId="0" fontId="10" numFmtId="0" xfId="0" applyAlignment="1" applyBorder="1" applyFont="1">
      <alignment horizontal="center" readingOrder="0"/>
    </xf>
    <xf borderId="1" fillId="0" fontId="10" numFmtId="0" xfId="0" applyAlignment="1" applyBorder="1" applyFont="1">
      <alignment horizontal="center" readingOrder="0"/>
    </xf>
    <xf borderId="1" fillId="0" fontId="10" numFmtId="0" xfId="0" applyAlignment="1" applyBorder="1" applyFont="1">
      <alignment horizontal="right" readingOrder="0"/>
    </xf>
    <xf borderId="1" fillId="0" fontId="11" numFmtId="0" xfId="0" applyAlignment="1" applyBorder="1" applyFont="1">
      <alignment horizontal="left" readingOrder="0" vertical="bottom"/>
    </xf>
    <xf borderId="2" fillId="16" fontId="11" numFmtId="0" xfId="0" applyAlignment="1" applyBorder="1" applyFill="1" applyFont="1">
      <alignment horizontal="center" readingOrder="0" vertical="bottom"/>
    </xf>
    <xf borderId="2" fillId="17" fontId="11" numFmtId="0" xfId="0" applyAlignment="1" applyBorder="1" applyFill="1" applyFont="1">
      <alignment horizontal="center" readingOrder="0" vertical="bottom"/>
    </xf>
    <xf borderId="2" fillId="18" fontId="11" numFmtId="0" xfId="0" applyAlignment="1" applyBorder="1" applyFill="1" applyFont="1">
      <alignment horizontal="center" readingOrder="0" vertical="bottom"/>
    </xf>
    <xf borderId="2" fillId="19" fontId="11" numFmtId="0" xfId="0" applyAlignment="1" applyBorder="1" applyFill="1" applyFont="1">
      <alignment horizontal="center" readingOrder="0" vertical="bottom"/>
    </xf>
    <xf borderId="1" fillId="20" fontId="11" numFmtId="0" xfId="0" applyAlignment="1" applyBorder="1" applyFill="1" applyFont="1">
      <alignment horizontal="center" readingOrder="0" vertical="bottom"/>
    </xf>
    <xf borderId="1" fillId="19" fontId="11" numFmtId="0" xfId="0" applyAlignment="1" applyBorder="1" applyFont="1">
      <alignment horizontal="center" readingOrder="0" vertical="bottom"/>
    </xf>
    <xf borderId="1" fillId="0" fontId="11" numFmtId="0" xfId="0" applyAlignment="1" applyBorder="1" applyFont="1">
      <alignment horizontal="right" readingOrder="0" vertical="bottom"/>
    </xf>
    <xf borderId="2" fillId="0" fontId="11" numFmtId="0" xfId="0" applyAlignment="1" applyBorder="1" applyFont="1">
      <alignment horizontal="center" readingOrder="0" vertical="bottom"/>
    </xf>
    <xf borderId="1" fillId="0" fontId="11" numFmtId="0" xfId="0" applyAlignment="1" applyBorder="1" applyFont="1">
      <alignment horizontal="center" readingOrder="0" vertical="bottom"/>
    </xf>
    <xf borderId="1" fillId="21" fontId="10" numFmtId="0" xfId="0" applyAlignment="1" applyBorder="1" applyFill="1" applyFont="1">
      <alignment horizontal="center" readingOrder="0"/>
    </xf>
    <xf borderId="7" fillId="0" fontId="4" numFmtId="0" xfId="0" applyBorder="1" applyFont="1"/>
    <xf borderId="0" fillId="0" fontId="1" numFmtId="164" xfId="0" applyAlignment="1" applyFont="1" applyNumberFormat="1">
      <alignment horizontal="right" readingOrder="0"/>
    </xf>
    <xf borderId="1" fillId="3" fontId="12" numFmtId="0" xfId="0" applyAlignment="1" applyBorder="1" applyFont="1">
      <alignment horizontal="center" readingOrder="0"/>
    </xf>
    <xf borderId="1" fillId="22" fontId="12" numFmtId="0" xfId="0" applyAlignment="1" applyBorder="1" applyFill="1" applyFont="1">
      <alignment horizontal="center" readingOrder="0"/>
    </xf>
    <xf borderId="1" fillId="22" fontId="12" numFmtId="0" xfId="0" applyAlignment="1" applyBorder="1" applyFont="1">
      <alignment horizontal="center" readingOrder="0"/>
    </xf>
    <xf borderId="1" fillId="22" fontId="12" numFmtId="0" xfId="0" applyAlignment="1" applyBorder="1" applyFont="1">
      <alignment horizontal="center" readingOrder="0"/>
    </xf>
    <xf borderId="1" fillId="5" fontId="12" numFmtId="0" xfId="0" applyAlignment="1" applyBorder="1" applyFont="1">
      <alignment horizontal="center" readingOrder="0"/>
    </xf>
    <xf borderId="1" fillId="6" fontId="12" numFmtId="0" xfId="0" applyAlignment="1" applyBorder="1" applyFont="1">
      <alignment horizontal="center" readingOrder="0"/>
    </xf>
    <xf borderId="1" fillId="7" fontId="12" numFmtId="0" xfId="0" applyAlignment="1" applyBorder="1" applyFont="1">
      <alignment horizontal="center" readingOrder="0"/>
    </xf>
    <xf borderId="1" fillId="23" fontId="12" numFmtId="0" xfId="0" applyAlignment="1" applyBorder="1" applyFill="1" applyFont="1">
      <alignment horizontal="center" readingOrder="0"/>
    </xf>
    <xf borderId="1" fillId="9" fontId="12" numFmtId="0" xfId="0" applyAlignment="1" applyBorder="1" applyFont="1">
      <alignment horizontal="center" readingOrder="0"/>
    </xf>
    <xf borderId="1" fillId="10" fontId="12" numFmtId="0" xfId="0" applyAlignment="1" applyBorder="1" applyFont="1">
      <alignment horizontal="center" readingOrder="0"/>
    </xf>
    <xf borderId="1" fillId="11" fontId="12" numFmtId="0" xfId="0" applyAlignment="1" applyBorder="1" applyFont="1">
      <alignment horizontal="center" readingOrder="0"/>
    </xf>
    <xf borderId="1" fillId="13" fontId="12" numFmtId="0" xfId="0" applyAlignment="1" applyBorder="1" applyFont="1">
      <alignment horizontal="center" readingOrder="0"/>
    </xf>
    <xf borderId="1" fillId="24" fontId="1" numFmtId="0" xfId="0" applyAlignment="1" applyBorder="1" applyFill="1" applyFont="1">
      <alignment horizontal="center" readingOrder="0"/>
    </xf>
    <xf borderId="1" fillId="0" fontId="5" numFmtId="0" xfId="0" applyAlignment="1" applyBorder="1" applyFont="1">
      <alignment readingOrder="0"/>
    </xf>
    <xf borderId="1" fillId="0" fontId="1" numFmtId="0" xfId="0" applyAlignment="1" applyBorder="1" applyFont="1">
      <alignment readingOrder="0"/>
    </xf>
    <xf borderId="1" fillId="24" fontId="6" numFmtId="0" xfId="0" applyAlignment="1" applyBorder="1" applyFont="1">
      <alignment horizontal="center" readingOrder="0"/>
    </xf>
    <xf borderId="1" fillId="25" fontId="6" numFmtId="0" xfId="0" applyAlignment="1" applyBorder="1" applyFill="1" applyFont="1">
      <alignment horizontal="center" readingOrder="0"/>
    </xf>
    <xf borderId="1" fillId="0" fontId="6" numFmtId="165" xfId="0" applyAlignment="1" applyBorder="1" applyFont="1" applyNumberFormat="1">
      <alignment horizontal="center" readingOrder="0" shrinkToFit="0" vertical="bottom" wrapText="0"/>
    </xf>
    <xf borderId="1" fillId="0" fontId="6" numFmtId="0" xfId="0" applyAlignment="1" applyBorder="1" applyFont="1">
      <alignment horizontal="center" readingOrder="0" shrinkToFit="0" vertical="bottom" wrapText="0"/>
    </xf>
    <xf borderId="1" fillId="0" fontId="6" numFmtId="3" xfId="0" applyAlignment="1" applyBorder="1" applyFont="1" applyNumberFormat="1">
      <alignment horizontal="center" readingOrder="0" shrinkToFit="0" vertical="bottom" wrapText="0"/>
    </xf>
    <xf borderId="1" fillId="2" fontId="1" numFmtId="0" xfId="0" applyAlignment="1" applyBorder="1" applyFont="1">
      <alignment readingOrder="0"/>
    </xf>
    <xf borderId="1" fillId="26" fontId="12" numFmtId="0" xfId="0" applyAlignment="1" applyBorder="1" applyFill="1" applyFont="1">
      <alignment horizontal="center" readingOrder="0"/>
    </xf>
    <xf borderId="1" fillId="2" fontId="1" numFmtId="0" xfId="0" applyAlignment="1" applyBorder="1" applyFont="1">
      <alignment horizontal="right" readingOrder="0"/>
    </xf>
    <xf borderId="1" fillId="0" fontId="1" numFmtId="1" xfId="0" applyAlignment="1" applyBorder="1" applyFont="1" applyNumberFormat="1">
      <alignment horizontal="center" readingOrder="0"/>
    </xf>
    <xf borderId="1" fillId="27" fontId="1" numFmtId="0" xfId="0" applyAlignment="1" applyBorder="1" applyFill="1" applyFont="1">
      <alignment horizontal="right" readingOrder="0"/>
    </xf>
    <xf borderId="1" fillId="0" fontId="1" numFmtId="0" xfId="0" applyAlignment="1" applyBorder="1" applyFont="1">
      <alignment horizontal="center"/>
    </xf>
    <xf borderId="1" fillId="28" fontId="1" numFmtId="0" xfId="0" applyAlignment="1" applyBorder="1" applyFill="1" applyFont="1">
      <alignment readingOrder="0"/>
    </xf>
    <xf borderId="1" fillId="0" fontId="1" numFmtId="1" xfId="0" applyAlignment="1" applyBorder="1" applyFont="1" applyNumberFormat="1">
      <alignment horizontal="center"/>
    </xf>
    <xf borderId="1" fillId="28" fontId="1" numFmtId="0" xfId="0" applyAlignment="1" applyBorder="1" applyFont="1">
      <alignment horizontal="right" readingOrder="0"/>
    </xf>
    <xf borderId="1" fillId="0" fontId="6" numFmtId="0" xfId="0" applyAlignment="1" applyBorder="1" applyFont="1">
      <alignment horizontal="center" readingOrder="0" shrinkToFit="0" wrapText="0"/>
    </xf>
    <xf borderId="0" fillId="0" fontId="6" numFmtId="0" xfId="0" applyAlignment="1" applyFont="1">
      <alignment horizontal="right" readingOrder="0" shrinkToFit="0" wrapText="0"/>
    </xf>
    <xf borderId="0" fillId="0" fontId="6" numFmtId="166" xfId="0" applyAlignment="1" applyFont="1" applyNumberFormat="1">
      <alignment horizontal="right" readingOrder="0" shrinkToFit="0" wrapText="0"/>
    </xf>
    <xf borderId="1" fillId="0" fontId="6" numFmtId="1" xfId="0" applyAlignment="1" applyBorder="1" applyFont="1" applyNumberFormat="1">
      <alignment horizontal="center" readingOrder="0" shrinkToFit="0" wrapText="0"/>
    </xf>
    <xf borderId="1" fillId="0" fontId="6" numFmtId="1" xfId="0" applyAlignment="1" applyBorder="1" applyFont="1" applyNumberFormat="1">
      <alignment horizontal="center" readingOrder="0"/>
    </xf>
    <xf borderId="0" fillId="0" fontId="6" numFmtId="167" xfId="0" applyAlignment="1" applyFont="1" applyNumberFormat="1">
      <alignment horizontal="right" readingOrder="0" shrinkToFit="0" wrapText="0"/>
    </xf>
    <xf borderId="1" fillId="28" fontId="5" numFmtId="0" xfId="0" applyAlignment="1" applyBorder="1" applyFont="1">
      <alignment horizontal="right" readingOrder="0" vertical="bottom"/>
    </xf>
    <xf borderId="1" fillId="0" fontId="6" numFmtId="0" xfId="0" applyAlignment="1" applyBorder="1" applyFont="1">
      <alignment horizontal="center" readingOrder="0"/>
    </xf>
    <xf borderId="0" fillId="0" fontId="8" numFmtId="0" xfId="0" applyAlignment="1" applyFont="1">
      <alignment readingOrder="0"/>
    </xf>
    <xf borderId="0" fillId="5" fontId="1" numFmtId="0" xfId="0" applyFont="1"/>
    <xf borderId="1" fillId="7" fontId="1" numFmtId="0" xfId="0" applyAlignment="1" applyBorder="1" applyFont="1">
      <alignment horizontal="left" readingOrder="0"/>
    </xf>
    <xf borderId="1" fillId="7" fontId="1" numFmtId="0" xfId="0" applyAlignment="1" applyBorder="1" applyFont="1">
      <alignment horizontal="right" readingOrder="0"/>
    </xf>
    <xf borderId="0" fillId="5" fontId="6" numFmtId="0" xfId="0" applyAlignment="1" applyFont="1">
      <alignment horizontal="right" readingOrder="0" shrinkToFit="0" wrapText="0"/>
    </xf>
    <xf borderId="0" fillId="5" fontId="8" numFmtId="0" xfId="0" applyFont="1"/>
    <xf borderId="1" fillId="7" fontId="5" numFmtId="0" xfId="0" applyAlignment="1" applyBorder="1" applyFont="1">
      <alignment readingOrder="0" vertical="bottom"/>
    </xf>
    <xf borderId="1" fillId="7" fontId="5" numFmtId="0" xfId="0" applyAlignment="1" applyBorder="1" applyFont="1">
      <alignment horizontal="right" readingOrder="0" vertical="bottom"/>
    </xf>
    <xf borderId="2" fillId="5" fontId="1" numFmtId="0" xfId="0" applyBorder="1" applyFont="1"/>
    <xf borderId="1" fillId="9" fontId="13" numFmtId="0" xfId="0" applyAlignment="1" applyBorder="1" applyFont="1">
      <alignment readingOrder="0"/>
    </xf>
    <xf borderId="1" fillId="0" fontId="14" numFmtId="1" xfId="0" applyAlignment="1" applyBorder="1" applyFont="1" applyNumberFormat="1">
      <alignment horizontal="center"/>
    </xf>
    <xf borderId="1" fillId="9" fontId="13" numFmtId="0" xfId="0" applyAlignment="1" applyBorder="1" applyFont="1">
      <alignment horizontal="right" readingOrder="0"/>
    </xf>
    <xf borderId="1" fillId="13" fontId="13" numFmtId="0" xfId="0" applyAlignment="1" applyBorder="1" applyFont="1">
      <alignment readingOrder="0"/>
    </xf>
    <xf borderId="1" fillId="13" fontId="13" numFmtId="0" xfId="0" applyAlignment="1" applyBorder="1" applyFont="1">
      <alignment horizontal="right" readingOrder="0"/>
    </xf>
    <xf borderId="8" fillId="29" fontId="1" numFmtId="0" xfId="0" applyBorder="1" applyFill="1" applyFont="1"/>
    <xf borderId="9" fillId="0" fontId="4" numFmtId="0" xfId="0" applyBorder="1" applyFont="1"/>
    <xf borderId="10" fillId="0" fontId="4" numFmtId="0" xfId="0" applyBorder="1" applyFont="1"/>
    <xf borderId="11" fillId="0" fontId="4" numFmtId="0" xfId="0" applyBorder="1" applyFont="1"/>
    <xf borderId="12" fillId="0" fontId="4" numFmtId="0" xfId="0" applyBorder="1" applyFont="1"/>
    <xf borderId="13" fillId="0" fontId="4" numFmtId="0" xfId="0" applyBorder="1" applyFont="1"/>
    <xf borderId="1" fillId="9" fontId="6" numFmtId="0" xfId="0" applyAlignment="1" applyBorder="1" applyFont="1">
      <alignment horizontal="left" readingOrder="0" shrinkToFit="0" wrapText="0"/>
    </xf>
    <xf borderId="1" fillId="9" fontId="6" numFmtId="0" xfId="0" applyAlignment="1" applyBorder="1" applyFont="1">
      <alignment horizontal="right" readingOrder="0" shrinkToFit="0" wrapText="0"/>
    </xf>
    <xf borderId="0" fillId="0" fontId="6" numFmtId="0" xfId="0" applyAlignment="1" applyFont="1">
      <alignment horizontal="center" readingOrder="0" shrinkToFit="0" wrapText="0"/>
    </xf>
    <xf borderId="1" fillId="0" fontId="5" numFmtId="0" xfId="0" applyAlignment="1" applyBorder="1" applyFont="1">
      <alignment horizontal="center" readingOrder="0" shrinkToFit="0" wrapText="0"/>
    </xf>
  </cellXfs>
  <cellStyles count="1">
    <cellStyle xfId="0" name="Normal" builtinId="0"/>
  </cellStyles>
  <dxfs count="6">
    <dxf>
      <font/>
      <fill>
        <patternFill patternType="solid">
          <fgColor rgb="FF57BB8A"/>
          <bgColor rgb="FF57BB8A"/>
        </patternFill>
      </fill>
      <border/>
    </dxf>
    <dxf>
      <font/>
      <fill>
        <patternFill patternType="solid">
          <fgColor rgb="FFFF5959"/>
          <bgColor rgb="FFFF5959"/>
        </patternFill>
      </fill>
      <border/>
    </dxf>
    <dxf>
      <font/>
      <fill>
        <patternFill patternType="solid">
          <fgColor rgb="FFFF4848"/>
          <bgColor rgb="FFFF4848"/>
        </patternFill>
      </fill>
      <border/>
    </dxf>
    <dxf>
      <font/>
      <fill>
        <patternFill patternType="solid">
          <fgColor rgb="FF34A853"/>
          <bgColor rgb="FF34A85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B7B7B7"/>
          <bgColor rgb="FFB7B7B7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75"/>
    <col customWidth="1" min="2" max="2" width="60.63"/>
    <col customWidth="1" min="3" max="3" width="20.38"/>
    <col customWidth="1" min="4" max="4" width="10.25"/>
    <col customWidth="1" min="5" max="5" width="12.25"/>
    <col customWidth="1" min="6" max="6" width="18.88"/>
    <col customWidth="1" min="7" max="7" width="7.63"/>
    <col customWidth="1" min="8" max="8" width="8.88"/>
    <col customWidth="1" min="9" max="9" width="7.63"/>
    <col customWidth="1" min="10" max="10" width="8.75"/>
    <col customWidth="1" min="11" max="11" width="20.38"/>
    <col customWidth="1" min="12" max="12" width="8.75"/>
    <col customWidth="1" min="13" max="13" width="7.63"/>
    <col customWidth="1" min="14" max="14" width="14.88"/>
    <col customWidth="1" min="15" max="15" width="11.88"/>
    <col customWidth="1" min="16" max="16" width="10.38"/>
    <col customWidth="1" min="17" max="19" width="7.63"/>
    <col customWidth="1" min="20" max="20" width="18.5"/>
    <col customWidth="1" min="21" max="21" width="9.13"/>
    <col customWidth="1" min="22" max="22" width="14.0"/>
    <col customWidth="1" min="23" max="23" width="11.5"/>
    <col customWidth="1" min="24" max="24" width="19.13"/>
    <col customWidth="1" min="25" max="25" width="10.38"/>
    <col customWidth="1" min="26" max="26" width="16.75"/>
    <col customWidth="1" min="27" max="27" width="18.13"/>
    <col customWidth="1" min="28" max="28" width="15.13"/>
    <col customWidth="1" min="29" max="30" width="7.63"/>
    <col customWidth="1" min="31" max="31" width="7.88"/>
    <col customWidth="1" min="32" max="32" width="12.0"/>
    <col customWidth="1" min="33" max="33" width="7.75"/>
    <col customWidth="1" min="34" max="34" width="59.38"/>
    <col customWidth="1" min="35" max="40" width="7.75"/>
  </cols>
  <sheetData>
    <row r="1">
      <c r="D1" s="1"/>
      <c r="E1" s="1"/>
      <c r="F1" s="1"/>
      <c r="G1" s="1"/>
      <c r="H1" s="1"/>
      <c r="M1" s="1"/>
    </row>
    <row r="2">
      <c r="A2" s="2" t="s">
        <v>0</v>
      </c>
      <c r="B2" s="2" t="s">
        <v>1</v>
      </c>
    </row>
    <row r="3">
      <c r="A3" s="2" t="s">
        <v>2</v>
      </c>
      <c r="B3" s="2" t="s">
        <v>3</v>
      </c>
    </row>
    <row r="4">
      <c r="A4" s="2" t="s">
        <v>4</v>
      </c>
      <c r="B4" s="3">
        <v>46149.0</v>
      </c>
    </row>
    <row r="5">
      <c r="B5" s="4" t="s">
        <v>5</v>
      </c>
      <c r="C5" s="5" t="s">
        <v>6</v>
      </c>
      <c r="D5" s="6"/>
      <c r="E5" s="7"/>
      <c r="F5" s="8" t="s">
        <v>7</v>
      </c>
      <c r="G5" s="6"/>
      <c r="H5" s="6"/>
      <c r="I5" s="6"/>
      <c r="J5" s="7"/>
      <c r="K5" s="9" t="s">
        <v>8</v>
      </c>
      <c r="L5" s="6"/>
      <c r="M5" s="7"/>
      <c r="N5" s="10" t="s">
        <v>9</v>
      </c>
      <c r="O5" s="6"/>
      <c r="P5" s="6"/>
      <c r="Q5" s="6"/>
      <c r="R5" s="6"/>
      <c r="S5" s="7"/>
      <c r="T5" s="11" t="s">
        <v>10</v>
      </c>
      <c r="U5" s="6"/>
      <c r="V5" s="6"/>
      <c r="W5" s="7"/>
      <c r="X5" s="12" t="s">
        <v>11</v>
      </c>
      <c r="Y5" s="7"/>
      <c r="Z5" s="13" t="s">
        <v>12</v>
      </c>
      <c r="AA5" s="14" t="s">
        <v>13</v>
      </c>
      <c r="AB5" s="15" t="s">
        <v>14</v>
      </c>
      <c r="AC5" s="6"/>
      <c r="AD5" s="6"/>
      <c r="AE5" s="7"/>
      <c r="AF5" s="16" t="s">
        <v>15</v>
      </c>
      <c r="AG5" s="17" t="s">
        <v>16</v>
      </c>
      <c r="AH5" s="18" t="s">
        <v>5</v>
      </c>
    </row>
    <row r="6">
      <c r="B6" s="19" t="s">
        <v>17</v>
      </c>
      <c r="C6" s="20">
        <v>5.3</v>
      </c>
      <c r="D6" s="6"/>
      <c r="E6" s="7"/>
      <c r="F6" s="20">
        <v>27.2</v>
      </c>
      <c r="G6" s="6"/>
      <c r="H6" s="6"/>
      <c r="I6" s="6"/>
      <c r="J6" s="7"/>
      <c r="K6" s="20">
        <v>40.5</v>
      </c>
      <c r="L6" s="6"/>
      <c r="M6" s="7"/>
      <c r="N6" s="20">
        <v>348.8</v>
      </c>
      <c r="O6" s="6"/>
      <c r="P6" s="6"/>
      <c r="Q6" s="6"/>
      <c r="R6" s="6"/>
      <c r="S6" s="7"/>
      <c r="T6" s="20">
        <v>69.9</v>
      </c>
      <c r="U6" s="6"/>
      <c r="V6" s="6"/>
      <c r="W6" s="7"/>
      <c r="X6" s="20">
        <v>18.5</v>
      </c>
      <c r="Y6" s="7"/>
      <c r="Z6" s="21">
        <v>5.6</v>
      </c>
      <c r="AA6" s="21">
        <v>6.6</v>
      </c>
      <c r="AB6" s="20">
        <v>38.9</v>
      </c>
      <c r="AC6" s="6"/>
      <c r="AD6" s="6"/>
      <c r="AE6" s="7"/>
      <c r="AF6" s="21">
        <v>143.1</v>
      </c>
      <c r="AG6" s="21">
        <v>8.9</v>
      </c>
      <c r="AH6" s="22" t="s">
        <v>17</v>
      </c>
    </row>
    <row r="7">
      <c r="B7" s="19" t="s">
        <v>18</v>
      </c>
      <c r="C7" s="20">
        <v>263.3</v>
      </c>
      <c r="D7" s="6"/>
      <c r="E7" s="7"/>
      <c r="F7" s="20">
        <v>7682.3</v>
      </c>
      <c r="G7" s="6"/>
      <c r="H7" s="6"/>
      <c r="I7" s="6"/>
      <c r="J7" s="7"/>
      <c r="K7" s="20">
        <v>9093.5</v>
      </c>
      <c r="L7" s="6"/>
      <c r="M7" s="7"/>
      <c r="N7" s="20">
        <v>9147.4</v>
      </c>
      <c r="O7" s="6"/>
      <c r="P7" s="6"/>
      <c r="Q7" s="6"/>
      <c r="R7" s="6"/>
      <c r="S7" s="7"/>
      <c r="T7" s="20">
        <v>241.9</v>
      </c>
      <c r="U7" s="6"/>
      <c r="V7" s="6"/>
      <c r="W7" s="7"/>
      <c r="X7" s="20">
        <v>328.0</v>
      </c>
      <c r="Y7" s="7"/>
      <c r="Z7" s="21">
        <v>365.2</v>
      </c>
      <c r="AA7" s="21">
        <v>87.4</v>
      </c>
      <c r="AB7" s="20">
        <v>306.2</v>
      </c>
      <c r="AC7" s="6"/>
      <c r="AD7" s="6"/>
      <c r="AE7" s="7"/>
      <c r="AF7" s="21">
        <v>16376.8</v>
      </c>
      <c r="AG7" s="21">
        <v>202.9</v>
      </c>
      <c r="AH7" s="22" t="s">
        <v>18</v>
      </c>
    </row>
    <row r="8">
      <c r="B8" s="19" t="s">
        <v>19</v>
      </c>
      <c r="C8" s="20">
        <v>52.023</v>
      </c>
      <c r="D8" s="6"/>
      <c r="E8" s="7"/>
      <c r="F8" s="20">
        <v>75.648</v>
      </c>
      <c r="G8" s="6"/>
      <c r="H8" s="6"/>
      <c r="I8" s="6"/>
      <c r="J8" s="7"/>
      <c r="K8" s="20">
        <v>60.305</v>
      </c>
      <c r="L8" s="6"/>
      <c r="M8" s="7"/>
      <c r="N8" s="20">
        <v>94.43</v>
      </c>
      <c r="O8" s="6"/>
      <c r="P8" s="6"/>
      <c r="Q8" s="6"/>
      <c r="R8" s="6"/>
      <c r="S8" s="7"/>
      <c r="T8" s="20">
        <v>61.056</v>
      </c>
      <c r="U8" s="6"/>
      <c r="V8" s="6"/>
      <c r="W8" s="7"/>
      <c r="X8" s="20">
        <v>79.918</v>
      </c>
      <c r="Y8" s="7"/>
      <c r="Z8" s="21">
        <v>105.877</v>
      </c>
      <c r="AA8" s="21">
        <v>17.252</v>
      </c>
      <c r="AB8" s="20">
        <v>31.336</v>
      </c>
      <c r="AC8" s="6"/>
      <c r="AD8" s="6"/>
      <c r="AE8" s="7"/>
      <c r="AF8" s="21">
        <v>18.525</v>
      </c>
      <c r="AG8" s="21">
        <v>11.286</v>
      </c>
      <c r="AH8" s="22" t="s">
        <v>19</v>
      </c>
    </row>
    <row r="9">
      <c r="B9" s="19" t="s">
        <v>20</v>
      </c>
      <c r="C9" s="23">
        <v>14.32</v>
      </c>
      <c r="D9" s="6"/>
      <c r="E9" s="7"/>
      <c r="F9" s="23">
        <v>18.11</v>
      </c>
      <c r="G9" s="6"/>
      <c r="H9" s="6"/>
      <c r="I9" s="6"/>
      <c r="J9" s="7"/>
      <c r="K9" s="23">
        <v>17.6</v>
      </c>
      <c r="L9" s="6"/>
      <c r="M9" s="7"/>
      <c r="N9" s="23">
        <v>17.3</v>
      </c>
      <c r="O9" s="6"/>
      <c r="P9" s="6"/>
      <c r="Q9" s="6"/>
      <c r="R9" s="6"/>
      <c r="S9" s="7"/>
      <c r="T9" s="23">
        <v>17.3</v>
      </c>
      <c r="U9" s="6"/>
      <c r="V9" s="6"/>
      <c r="W9" s="7"/>
      <c r="X9" s="23">
        <v>17.31</v>
      </c>
      <c r="Y9" s="7"/>
      <c r="Z9" s="24">
        <v>18.9</v>
      </c>
      <c r="AA9" s="24">
        <v>3.72</v>
      </c>
      <c r="AB9" s="23">
        <v>8.71</v>
      </c>
      <c r="AC9" s="6"/>
      <c r="AD9" s="6"/>
      <c r="AE9" s="7"/>
      <c r="AF9" s="24">
        <v>2.09</v>
      </c>
      <c r="AG9" s="24">
        <v>1.61</v>
      </c>
      <c r="AH9" s="22" t="s">
        <v>20</v>
      </c>
    </row>
    <row r="10">
      <c r="B10" s="19" t="s">
        <v>21</v>
      </c>
      <c r="C10" s="20">
        <v>30.0</v>
      </c>
      <c r="D10" s="6"/>
      <c r="E10" s="7"/>
      <c r="F10" s="20">
        <v>32.5</v>
      </c>
      <c r="G10" s="6"/>
      <c r="H10" s="6"/>
      <c r="I10" s="6"/>
      <c r="J10" s="7"/>
      <c r="K10" s="20">
        <v>29.65</v>
      </c>
      <c r="L10" s="6"/>
      <c r="M10" s="7"/>
      <c r="N10" s="20">
        <v>22.0</v>
      </c>
      <c r="O10" s="6"/>
      <c r="P10" s="6"/>
      <c r="Q10" s="6"/>
      <c r="R10" s="6"/>
      <c r="S10" s="7"/>
      <c r="T10" s="20">
        <v>45.0</v>
      </c>
      <c r="U10" s="6"/>
      <c r="V10" s="6"/>
      <c r="W10" s="7"/>
      <c r="X10" s="20">
        <v>49.5</v>
      </c>
      <c r="Y10" s="7"/>
      <c r="Z10" s="21">
        <v>13.7</v>
      </c>
      <c r="AA10" s="21">
        <v>35.5</v>
      </c>
      <c r="AB10" s="20">
        <v>32.0</v>
      </c>
      <c r="AC10" s="6"/>
      <c r="AD10" s="6"/>
      <c r="AE10" s="7"/>
      <c r="AF10" s="21">
        <v>18.0</v>
      </c>
      <c r="AG10" s="21">
        <v>13.0</v>
      </c>
      <c r="AH10" s="22" t="s">
        <v>21</v>
      </c>
    </row>
    <row r="11">
      <c r="B11" s="19" t="s">
        <v>22</v>
      </c>
      <c r="C11" s="20">
        <v>15.0</v>
      </c>
      <c r="D11" s="6"/>
      <c r="E11" s="7"/>
      <c r="F11" s="20">
        <v>10.0</v>
      </c>
      <c r="G11" s="6"/>
      <c r="H11" s="6"/>
      <c r="I11" s="6"/>
      <c r="J11" s="7"/>
      <c r="K11" s="20">
        <v>12.0</v>
      </c>
      <c r="L11" s="6"/>
      <c r="M11" s="7"/>
      <c r="N11" s="20">
        <v>10.0</v>
      </c>
      <c r="O11" s="6"/>
      <c r="P11" s="6"/>
      <c r="Q11" s="6"/>
      <c r="R11" s="6"/>
      <c r="S11" s="7"/>
      <c r="T11" s="20">
        <v>20.0</v>
      </c>
      <c r="U11" s="6"/>
      <c r="V11" s="6"/>
      <c r="W11" s="7"/>
      <c r="X11" s="20">
        <v>21.0</v>
      </c>
      <c r="Y11" s="7"/>
      <c r="Z11" s="21">
        <v>25.0</v>
      </c>
      <c r="AA11" s="21">
        <v>20.0</v>
      </c>
      <c r="AB11" s="20">
        <v>23.0</v>
      </c>
      <c r="AC11" s="6"/>
      <c r="AD11" s="6"/>
      <c r="AE11" s="7"/>
      <c r="AF11" s="21">
        <v>22.0</v>
      </c>
      <c r="AG11" s="21">
        <v>20.0</v>
      </c>
      <c r="AH11" s="22" t="s">
        <v>22</v>
      </c>
    </row>
    <row r="12">
      <c r="B12" s="25" t="s">
        <v>23</v>
      </c>
      <c r="C12" s="26" t="s">
        <v>24</v>
      </c>
      <c r="D12" s="6"/>
      <c r="E12" s="7"/>
      <c r="F12" s="26" t="s">
        <v>24</v>
      </c>
      <c r="G12" s="6"/>
      <c r="H12" s="6"/>
      <c r="I12" s="6"/>
      <c r="J12" s="7"/>
      <c r="K12" s="26" t="s">
        <v>24</v>
      </c>
      <c r="L12" s="6"/>
      <c r="M12" s="7"/>
      <c r="N12" s="26" t="s">
        <v>24</v>
      </c>
      <c r="O12" s="6"/>
      <c r="P12" s="6"/>
      <c r="Q12" s="6"/>
      <c r="R12" s="6"/>
      <c r="S12" s="7"/>
      <c r="T12" s="26" t="s">
        <v>24</v>
      </c>
      <c r="U12" s="6"/>
      <c r="V12" s="6"/>
      <c r="W12" s="7"/>
      <c r="X12" s="26" t="s">
        <v>25</v>
      </c>
      <c r="Y12" s="7"/>
      <c r="Z12" s="27" t="s">
        <v>25</v>
      </c>
      <c r="AA12" s="27" t="s">
        <v>25</v>
      </c>
      <c r="AB12" s="26" t="s">
        <v>25</v>
      </c>
      <c r="AC12" s="6"/>
      <c r="AD12" s="6"/>
      <c r="AE12" s="7"/>
      <c r="AF12" s="27" t="s">
        <v>24</v>
      </c>
      <c r="AG12" s="27" t="s">
        <v>24</v>
      </c>
      <c r="AH12" s="28" t="s">
        <v>23</v>
      </c>
    </row>
    <row r="13">
      <c r="B13" s="29"/>
      <c r="AH13" s="30"/>
    </row>
    <row r="14">
      <c r="B14" s="29"/>
      <c r="AH14" s="30"/>
    </row>
    <row r="15">
      <c r="B15" s="31" t="s">
        <v>26</v>
      </c>
      <c r="C15" s="5" t="s">
        <v>6</v>
      </c>
      <c r="D15" s="6"/>
      <c r="E15" s="7"/>
      <c r="F15" s="8" t="s">
        <v>7</v>
      </c>
      <c r="G15" s="6"/>
      <c r="H15" s="6"/>
      <c r="I15" s="6"/>
      <c r="J15" s="7"/>
      <c r="K15" s="9" t="s">
        <v>8</v>
      </c>
      <c r="L15" s="6"/>
      <c r="M15" s="7"/>
      <c r="N15" s="10" t="s">
        <v>9</v>
      </c>
      <c r="O15" s="6"/>
      <c r="P15" s="6"/>
      <c r="Q15" s="6"/>
      <c r="R15" s="6"/>
      <c r="S15" s="7"/>
      <c r="T15" s="11" t="s">
        <v>10</v>
      </c>
      <c r="U15" s="6"/>
      <c r="V15" s="6"/>
      <c r="W15" s="7"/>
      <c r="X15" s="12" t="s">
        <v>11</v>
      </c>
      <c r="Y15" s="7"/>
      <c r="Z15" s="13" t="s">
        <v>12</v>
      </c>
      <c r="AA15" s="14" t="s">
        <v>13</v>
      </c>
      <c r="AB15" s="15" t="s">
        <v>14</v>
      </c>
      <c r="AC15" s="6"/>
      <c r="AD15" s="6"/>
      <c r="AE15" s="7"/>
      <c r="AF15" s="16" t="s">
        <v>15</v>
      </c>
      <c r="AG15" s="17" t="s">
        <v>16</v>
      </c>
      <c r="AH15" s="32" t="s">
        <v>26</v>
      </c>
    </row>
    <row r="16">
      <c r="B16" s="33" t="s">
        <v>27</v>
      </c>
      <c r="C16" s="34" t="s">
        <v>28</v>
      </c>
      <c r="D16" s="6"/>
      <c r="E16" s="7"/>
      <c r="F16" s="34" t="s">
        <v>29</v>
      </c>
      <c r="G16" s="6"/>
      <c r="H16" s="6"/>
      <c r="I16" s="6"/>
      <c r="J16" s="7"/>
      <c r="K16" s="34" t="s">
        <v>30</v>
      </c>
      <c r="L16" s="6"/>
      <c r="M16" s="7"/>
      <c r="N16" s="34" t="s">
        <v>31</v>
      </c>
      <c r="O16" s="6"/>
      <c r="P16" s="6"/>
      <c r="Q16" s="6"/>
      <c r="R16" s="6"/>
      <c r="S16" s="7"/>
      <c r="T16" s="34" t="s">
        <v>32</v>
      </c>
      <c r="U16" s="6"/>
      <c r="V16" s="6"/>
      <c r="W16" s="7"/>
      <c r="X16" s="34" t="s">
        <v>33</v>
      </c>
      <c r="Y16" s="7"/>
      <c r="Z16" s="35" t="s">
        <v>32</v>
      </c>
      <c r="AA16" s="35" t="s">
        <v>34</v>
      </c>
      <c r="AB16" s="34" t="s">
        <v>35</v>
      </c>
      <c r="AC16" s="6"/>
      <c r="AD16" s="6"/>
      <c r="AE16" s="7"/>
      <c r="AF16" s="35" t="s">
        <v>36</v>
      </c>
      <c r="AG16" s="36" t="s">
        <v>37</v>
      </c>
      <c r="AH16" s="37" t="s">
        <v>27</v>
      </c>
    </row>
    <row r="17">
      <c r="B17" s="33" t="s">
        <v>38</v>
      </c>
      <c r="C17" s="34">
        <v>2.0</v>
      </c>
      <c r="D17" s="6"/>
      <c r="E17" s="7"/>
      <c r="F17" s="34">
        <v>4.0</v>
      </c>
      <c r="G17" s="6"/>
      <c r="H17" s="6"/>
      <c r="I17" s="6"/>
      <c r="J17" s="7"/>
      <c r="K17" s="34">
        <v>3.0</v>
      </c>
      <c r="L17" s="6"/>
      <c r="M17" s="7"/>
      <c r="N17" s="34">
        <v>5.0</v>
      </c>
      <c r="O17" s="6"/>
      <c r="P17" s="6"/>
      <c r="Q17" s="6"/>
      <c r="R17" s="6"/>
      <c r="S17" s="7"/>
      <c r="T17" s="34">
        <v>3.0</v>
      </c>
      <c r="U17" s="6"/>
      <c r="V17" s="6"/>
      <c r="W17" s="7"/>
      <c r="X17" s="34">
        <v>2.0</v>
      </c>
      <c r="Y17" s="7"/>
      <c r="Z17" s="35">
        <v>3.0</v>
      </c>
      <c r="AA17" s="35">
        <v>1.0</v>
      </c>
      <c r="AB17" s="34">
        <v>1.0</v>
      </c>
      <c r="AC17" s="6"/>
      <c r="AD17" s="6"/>
      <c r="AE17" s="7"/>
      <c r="AF17" s="35">
        <v>0.0</v>
      </c>
      <c r="AG17" s="38"/>
      <c r="AH17" s="37" t="s">
        <v>38</v>
      </c>
    </row>
    <row r="18">
      <c r="B18" s="39" t="s">
        <v>39</v>
      </c>
      <c r="C18" s="40">
        <v>0.0</v>
      </c>
      <c r="D18" s="6"/>
      <c r="E18" s="7"/>
      <c r="F18" s="40">
        <v>1.0</v>
      </c>
      <c r="G18" s="6"/>
      <c r="H18" s="6"/>
      <c r="I18" s="6"/>
      <c r="J18" s="7"/>
      <c r="K18" s="40">
        <v>0.0</v>
      </c>
      <c r="L18" s="6"/>
      <c r="M18" s="7"/>
      <c r="N18" s="40">
        <v>2.0</v>
      </c>
      <c r="O18" s="6"/>
      <c r="P18" s="6"/>
      <c r="Q18" s="6"/>
      <c r="R18" s="6"/>
      <c r="S18" s="7"/>
      <c r="T18" s="40">
        <v>5.0</v>
      </c>
      <c r="U18" s="6"/>
      <c r="V18" s="6"/>
      <c r="W18" s="7"/>
      <c r="X18" s="40">
        <v>5.0</v>
      </c>
      <c r="Y18" s="7"/>
      <c r="Z18" s="41">
        <v>3.0</v>
      </c>
      <c r="AA18" s="41">
        <v>3.0</v>
      </c>
      <c r="AB18" s="40">
        <v>5.0</v>
      </c>
      <c r="AC18" s="6"/>
      <c r="AD18" s="6"/>
      <c r="AE18" s="7"/>
      <c r="AF18" s="41">
        <v>0.0</v>
      </c>
      <c r="AG18" s="38"/>
      <c r="AH18" s="42" t="s">
        <v>39</v>
      </c>
    </row>
    <row r="19">
      <c r="A19" s="29"/>
      <c r="B19" s="43" t="s">
        <v>40</v>
      </c>
      <c r="C19" s="44">
        <v>2.0</v>
      </c>
      <c r="D19" s="6"/>
      <c r="E19" s="7"/>
      <c r="F19" s="45">
        <v>5.0</v>
      </c>
      <c r="G19" s="6"/>
      <c r="H19" s="6"/>
      <c r="I19" s="6"/>
      <c r="J19" s="7"/>
      <c r="K19" s="44">
        <v>3.0</v>
      </c>
      <c r="L19" s="6"/>
      <c r="M19" s="7"/>
      <c r="N19" s="46">
        <v>10.0</v>
      </c>
      <c r="O19" s="6"/>
      <c r="P19" s="6"/>
      <c r="Q19" s="6"/>
      <c r="R19" s="6"/>
      <c r="S19" s="7"/>
      <c r="T19" s="47">
        <v>8.0</v>
      </c>
      <c r="U19" s="6"/>
      <c r="V19" s="6"/>
      <c r="W19" s="7"/>
      <c r="X19" s="47">
        <v>7.0</v>
      </c>
      <c r="Y19" s="7"/>
      <c r="Z19" s="48">
        <v>7.0</v>
      </c>
      <c r="AA19" s="48">
        <v>5.0</v>
      </c>
      <c r="AB19" s="47">
        <v>8.0</v>
      </c>
      <c r="AC19" s="6"/>
      <c r="AD19" s="6"/>
      <c r="AE19" s="7"/>
      <c r="AF19" s="49">
        <v>2.0</v>
      </c>
      <c r="AG19" s="38"/>
      <c r="AH19" s="50" t="s">
        <v>40</v>
      </c>
      <c r="AI19" s="29"/>
      <c r="AJ19" s="29"/>
      <c r="AK19" s="29"/>
      <c r="AL19" s="29"/>
      <c r="AM19" s="29"/>
      <c r="AN19" s="29"/>
    </row>
    <row r="20">
      <c r="B20" s="39" t="s">
        <v>41</v>
      </c>
      <c r="C20" s="40">
        <v>5.0</v>
      </c>
      <c r="D20" s="6"/>
      <c r="E20" s="7"/>
      <c r="F20" s="40">
        <v>4.0</v>
      </c>
      <c r="G20" s="6"/>
      <c r="H20" s="6"/>
      <c r="I20" s="6"/>
      <c r="J20" s="7"/>
      <c r="K20" s="40">
        <v>3.0</v>
      </c>
      <c r="L20" s="6"/>
      <c r="M20" s="7"/>
      <c r="N20" s="40">
        <v>5.0</v>
      </c>
      <c r="O20" s="6"/>
      <c r="P20" s="6"/>
      <c r="Q20" s="6"/>
      <c r="R20" s="6"/>
      <c r="S20" s="7"/>
      <c r="T20" s="40">
        <v>6.0</v>
      </c>
      <c r="U20" s="6"/>
      <c r="V20" s="6"/>
      <c r="W20" s="7"/>
      <c r="X20" s="40">
        <v>5.0</v>
      </c>
      <c r="Y20" s="7"/>
      <c r="Z20" s="41">
        <v>7.0</v>
      </c>
      <c r="AA20" s="41">
        <v>3.0</v>
      </c>
      <c r="AB20" s="40">
        <v>5.0</v>
      </c>
      <c r="AC20" s="6"/>
      <c r="AD20" s="6"/>
      <c r="AE20" s="7"/>
      <c r="AF20" s="41">
        <v>5.0</v>
      </c>
      <c r="AG20" s="38"/>
      <c r="AH20" s="42" t="s">
        <v>41</v>
      </c>
    </row>
    <row r="21">
      <c r="A21" s="29"/>
      <c r="B21" s="43" t="s">
        <v>42</v>
      </c>
      <c r="C21" s="51">
        <v>6.0</v>
      </c>
      <c r="D21" s="6"/>
      <c r="E21" s="7"/>
      <c r="F21" s="51">
        <v>7.0</v>
      </c>
      <c r="G21" s="6"/>
      <c r="H21" s="6"/>
      <c r="I21" s="6"/>
      <c r="J21" s="7"/>
      <c r="K21" s="51">
        <v>5.0</v>
      </c>
      <c r="L21" s="6"/>
      <c r="M21" s="7"/>
      <c r="N21" s="51">
        <v>15.0</v>
      </c>
      <c r="O21" s="6"/>
      <c r="P21" s="6"/>
      <c r="Q21" s="6"/>
      <c r="R21" s="6"/>
      <c r="S21" s="7"/>
      <c r="T21" s="51">
        <v>8.0</v>
      </c>
      <c r="U21" s="6"/>
      <c r="V21" s="6"/>
      <c r="W21" s="7"/>
      <c r="X21" s="51">
        <v>7.0</v>
      </c>
      <c r="Y21" s="7"/>
      <c r="Z21" s="52">
        <v>10.0</v>
      </c>
      <c r="AA21" s="52">
        <v>5.0</v>
      </c>
      <c r="AB21" s="51">
        <v>10.0</v>
      </c>
      <c r="AC21" s="6"/>
      <c r="AD21" s="6"/>
      <c r="AE21" s="7"/>
      <c r="AF21" s="52">
        <v>6.0</v>
      </c>
      <c r="AG21" s="38"/>
      <c r="AH21" s="50" t="s">
        <v>42</v>
      </c>
      <c r="AI21" s="29"/>
      <c r="AJ21" s="29"/>
      <c r="AK21" s="29"/>
      <c r="AL21" s="29"/>
      <c r="AM21" s="29"/>
      <c r="AN21" s="29"/>
    </row>
    <row r="22" ht="20.25" customHeight="1">
      <c r="B22" s="39" t="s">
        <v>43</v>
      </c>
      <c r="C22" s="40">
        <v>6.5</v>
      </c>
      <c r="D22" s="6"/>
      <c r="E22" s="7"/>
      <c r="F22" s="40">
        <v>8.0</v>
      </c>
      <c r="G22" s="6"/>
      <c r="H22" s="6"/>
      <c r="I22" s="6"/>
      <c r="J22" s="7"/>
      <c r="K22" s="40">
        <v>7.5</v>
      </c>
      <c r="L22" s="6"/>
      <c r="M22" s="7"/>
      <c r="N22" s="40">
        <v>6.5</v>
      </c>
      <c r="O22" s="6"/>
      <c r="P22" s="6"/>
      <c r="Q22" s="6"/>
      <c r="R22" s="6"/>
      <c r="S22" s="7"/>
      <c r="T22" s="40">
        <v>6.5</v>
      </c>
      <c r="U22" s="6"/>
      <c r="V22" s="6"/>
      <c r="W22" s="7"/>
      <c r="X22" s="40">
        <v>6.0</v>
      </c>
      <c r="Y22" s="7"/>
      <c r="Z22" s="41">
        <v>6.0</v>
      </c>
      <c r="AA22" s="41">
        <v>6.0</v>
      </c>
      <c r="AB22" s="40">
        <v>6.0</v>
      </c>
      <c r="AC22" s="6"/>
      <c r="AD22" s="6"/>
      <c r="AE22" s="7"/>
      <c r="AF22" s="53" t="s">
        <v>37</v>
      </c>
      <c r="AG22" s="38"/>
      <c r="AH22" s="42" t="s">
        <v>43</v>
      </c>
    </row>
    <row r="23">
      <c r="B23" s="39" t="s">
        <v>44</v>
      </c>
      <c r="C23" s="40">
        <v>100.0</v>
      </c>
      <c r="D23" s="6"/>
      <c r="E23" s="7"/>
      <c r="F23" s="40">
        <v>125.0</v>
      </c>
      <c r="G23" s="6"/>
      <c r="H23" s="6"/>
      <c r="I23" s="6"/>
      <c r="J23" s="7"/>
      <c r="K23" s="40">
        <v>115.0</v>
      </c>
      <c r="L23" s="6"/>
      <c r="M23" s="7"/>
      <c r="N23" s="40">
        <v>210.0</v>
      </c>
      <c r="O23" s="6"/>
      <c r="P23" s="6"/>
      <c r="Q23" s="6"/>
      <c r="R23" s="6"/>
      <c r="S23" s="7"/>
      <c r="T23" s="40">
        <v>110.0</v>
      </c>
      <c r="U23" s="6"/>
      <c r="V23" s="6"/>
      <c r="W23" s="7"/>
      <c r="X23" s="40">
        <v>105.0</v>
      </c>
      <c r="Y23" s="7"/>
      <c r="Z23" s="41">
        <v>95.0</v>
      </c>
      <c r="AA23" s="41">
        <v>65.0</v>
      </c>
      <c r="AB23" s="40">
        <v>90.0</v>
      </c>
      <c r="AC23" s="6"/>
      <c r="AD23" s="6"/>
      <c r="AE23" s="7"/>
      <c r="AF23" s="41">
        <v>55.0</v>
      </c>
      <c r="AG23" s="38"/>
      <c r="AH23" s="42" t="s">
        <v>44</v>
      </c>
    </row>
    <row r="24">
      <c r="B24" s="39" t="s">
        <v>45</v>
      </c>
      <c r="C24" s="40">
        <v>40.0</v>
      </c>
      <c r="D24" s="6"/>
      <c r="E24" s="7"/>
      <c r="F24" s="40">
        <v>50.0</v>
      </c>
      <c r="G24" s="6"/>
      <c r="H24" s="6"/>
      <c r="I24" s="6"/>
      <c r="J24" s="7"/>
      <c r="K24" s="40">
        <v>50.0</v>
      </c>
      <c r="L24" s="6"/>
      <c r="M24" s="7"/>
      <c r="N24" s="40">
        <v>60.0</v>
      </c>
      <c r="O24" s="6"/>
      <c r="P24" s="6"/>
      <c r="Q24" s="6"/>
      <c r="R24" s="6"/>
      <c r="S24" s="7"/>
      <c r="T24" s="40">
        <v>50.0</v>
      </c>
      <c r="U24" s="6"/>
      <c r="V24" s="6"/>
      <c r="W24" s="7"/>
      <c r="X24" s="40">
        <v>70.0</v>
      </c>
      <c r="Y24" s="7"/>
      <c r="Z24" s="41">
        <v>75.0</v>
      </c>
      <c r="AA24" s="41">
        <v>35.0</v>
      </c>
      <c r="AB24" s="40">
        <v>40.0</v>
      </c>
      <c r="AC24" s="6"/>
      <c r="AD24" s="6"/>
      <c r="AE24" s="7"/>
      <c r="AF24" s="41">
        <v>40.0</v>
      </c>
      <c r="AG24" s="54"/>
      <c r="AH24" s="42" t="s">
        <v>45</v>
      </c>
    </row>
    <row r="25">
      <c r="B25" s="29"/>
      <c r="AH25" s="30"/>
    </row>
    <row r="26">
      <c r="B26" s="29"/>
      <c r="AH26" s="30"/>
    </row>
    <row r="27">
      <c r="A27" s="2" t="s">
        <v>4</v>
      </c>
      <c r="B27" s="3">
        <v>46150.0</v>
      </c>
      <c r="D27" s="1"/>
      <c r="E27" s="1"/>
      <c r="F27" s="1"/>
      <c r="G27" s="1"/>
      <c r="H27" s="1"/>
      <c r="M27" s="1"/>
      <c r="AH27" s="55">
        <v>46150.0</v>
      </c>
    </row>
    <row r="28">
      <c r="B28" s="4" t="s">
        <v>46</v>
      </c>
      <c r="C28" s="56" t="s">
        <v>47</v>
      </c>
      <c r="D28" s="56" t="s">
        <v>48</v>
      </c>
      <c r="E28" s="56" t="s">
        <v>49</v>
      </c>
      <c r="F28" s="57" t="s">
        <v>50</v>
      </c>
      <c r="G28" s="57" t="s">
        <v>51</v>
      </c>
      <c r="H28" s="58" t="s">
        <v>52</v>
      </c>
      <c r="I28" s="57" t="s">
        <v>53</v>
      </c>
      <c r="J28" s="59" t="s">
        <v>54</v>
      </c>
      <c r="K28" s="60" t="s">
        <v>55</v>
      </c>
      <c r="L28" s="60" t="s">
        <v>56</v>
      </c>
      <c r="M28" s="60" t="s">
        <v>57</v>
      </c>
      <c r="N28" s="61" t="s">
        <v>58</v>
      </c>
      <c r="O28" s="61" t="s">
        <v>59</v>
      </c>
      <c r="P28" s="61" t="s">
        <v>60</v>
      </c>
      <c r="Q28" s="61" t="s">
        <v>61</v>
      </c>
      <c r="R28" s="61" t="s">
        <v>62</v>
      </c>
      <c r="S28" s="61" t="s">
        <v>63</v>
      </c>
      <c r="T28" s="62" t="s">
        <v>64</v>
      </c>
      <c r="U28" s="62" t="s">
        <v>65</v>
      </c>
      <c r="V28" s="62" t="s">
        <v>66</v>
      </c>
      <c r="W28" s="62" t="s">
        <v>67</v>
      </c>
      <c r="X28" s="63" t="s">
        <v>68</v>
      </c>
      <c r="Y28" s="63" t="s">
        <v>69</v>
      </c>
      <c r="Z28" s="64" t="s">
        <v>70</v>
      </c>
      <c r="AA28" s="65" t="s">
        <v>71</v>
      </c>
      <c r="AB28" s="66" t="s">
        <v>72</v>
      </c>
      <c r="AC28" s="66" t="s">
        <v>73</v>
      </c>
      <c r="AD28" s="66" t="s">
        <v>74</v>
      </c>
      <c r="AE28" s="66" t="s">
        <v>75</v>
      </c>
      <c r="AF28" s="16" t="s">
        <v>76</v>
      </c>
      <c r="AG28" s="67" t="s">
        <v>77</v>
      </c>
      <c r="AH28" s="18" t="s">
        <v>46</v>
      </c>
    </row>
    <row r="29">
      <c r="B29" s="25" t="s">
        <v>17</v>
      </c>
      <c r="C29" s="68">
        <v>1.7</v>
      </c>
      <c r="D29" s="68">
        <v>0.4</v>
      </c>
      <c r="E29" s="68">
        <v>0.4</v>
      </c>
      <c r="F29" s="68">
        <v>5.4</v>
      </c>
      <c r="G29" s="68">
        <v>5.3</v>
      </c>
      <c r="H29" s="68">
        <v>2.6</v>
      </c>
      <c r="I29" s="68">
        <v>2.2</v>
      </c>
      <c r="J29" s="68">
        <v>1.4</v>
      </c>
      <c r="K29" s="68">
        <v>3.4</v>
      </c>
      <c r="L29" s="68">
        <v>2.0</v>
      </c>
      <c r="M29" s="68">
        <v>1.2</v>
      </c>
      <c r="N29" s="68">
        <v>2.7</v>
      </c>
      <c r="O29" s="68">
        <v>1.5</v>
      </c>
      <c r="P29" s="68">
        <v>1.4</v>
      </c>
      <c r="Q29" s="68">
        <v>1.3</v>
      </c>
      <c r="R29" s="68">
        <v>1.0</v>
      </c>
      <c r="S29" s="68">
        <v>0.8</v>
      </c>
      <c r="T29" s="68">
        <v>2.7</v>
      </c>
      <c r="U29" s="68">
        <v>0.9</v>
      </c>
      <c r="V29" s="68">
        <v>0.9</v>
      </c>
      <c r="W29" s="68">
        <v>2.8</v>
      </c>
      <c r="X29" s="68">
        <v>1.2</v>
      </c>
      <c r="Y29" s="68">
        <v>1.0</v>
      </c>
      <c r="Z29" s="68">
        <v>1.1</v>
      </c>
      <c r="AA29" s="68">
        <v>1.4</v>
      </c>
      <c r="AB29" s="68">
        <v>1.8</v>
      </c>
      <c r="AC29" s="68">
        <v>0.7</v>
      </c>
      <c r="AD29" s="68">
        <v>0.6</v>
      </c>
      <c r="AE29" s="68">
        <v>0.4</v>
      </c>
      <c r="AF29" s="68">
        <v>12.7</v>
      </c>
      <c r="AG29" s="68">
        <v>2.1</v>
      </c>
      <c r="AH29" s="28" t="s">
        <v>17</v>
      </c>
    </row>
    <row r="30">
      <c r="B30" s="25" t="s">
        <v>78</v>
      </c>
      <c r="C30" s="68" t="s">
        <v>24</v>
      </c>
      <c r="D30" s="68" t="s">
        <v>25</v>
      </c>
      <c r="E30" s="68" t="s">
        <v>24</v>
      </c>
      <c r="F30" s="68" t="s">
        <v>24</v>
      </c>
      <c r="G30" s="68" t="s">
        <v>24</v>
      </c>
      <c r="H30" s="68" t="s">
        <v>24</v>
      </c>
      <c r="I30" s="68" t="s">
        <v>24</v>
      </c>
      <c r="J30" s="68" t="s">
        <v>24</v>
      </c>
      <c r="K30" s="68" t="s">
        <v>24</v>
      </c>
      <c r="L30" s="68" t="s">
        <v>24</v>
      </c>
      <c r="M30" s="68" t="s">
        <v>25</v>
      </c>
      <c r="N30" s="68" t="s">
        <v>24</v>
      </c>
      <c r="O30" s="68" t="s">
        <v>24</v>
      </c>
      <c r="P30" s="68" t="s">
        <v>24</v>
      </c>
      <c r="Q30" s="68" t="s">
        <v>24</v>
      </c>
      <c r="R30" s="68" t="s">
        <v>24</v>
      </c>
      <c r="S30" s="68" t="s">
        <v>24</v>
      </c>
      <c r="T30" s="68" t="s">
        <v>24</v>
      </c>
      <c r="U30" s="68" t="s">
        <v>24</v>
      </c>
      <c r="V30" s="68" t="s">
        <v>24</v>
      </c>
      <c r="W30" s="68" t="s">
        <v>24</v>
      </c>
      <c r="X30" s="68" t="s">
        <v>25</v>
      </c>
      <c r="Y30" s="68" t="s">
        <v>24</v>
      </c>
      <c r="Z30" s="68" t="s">
        <v>25</v>
      </c>
      <c r="AA30" s="68" t="s">
        <v>25</v>
      </c>
      <c r="AB30" s="68" t="s">
        <v>25</v>
      </c>
      <c r="AC30" s="68" t="s">
        <v>24</v>
      </c>
      <c r="AD30" s="68" t="s">
        <v>24</v>
      </c>
      <c r="AE30" s="68" t="s">
        <v>24</v>
      </c>
      <c r="AF30" s="68" t="s">
        <v>25</v>
      </c>
      <c r="AG30" s="68" t="s">
        <v>25</v>
      </c>
      <c r="AH30" s="28" t="s">
        <v>78</v>
      </c>
    </row>
    <row r="31">
      <c r="B31" s="25" t="s">
        <v>79</v>
      </c>
      <c r="C31" s="68">
        <v>43.0</v>
      </c>
      <c r="D31" s="68">
        <v>34.0</v>
      </c>
      <c r="E31" s="68">
        <v>28.0</v>
      </c>
      <c r="F31" s="68">
        <v>43.0</v>
      </c>
      <c r="G31" s="68">
        <v>57.0</v>
      </c>
      <c r="H31" s="68">
        <v>34.0</v>
      </c>
      <c r="I31" s="68">
        <v>40.0</v>
      </c>
      <c r="J31" s="68">
        <v>37.0</v>
      </c>
      <c r="K31" s="68">
        <v>50.0</v>
      </c>
      <c r="L31" s="68">
        <v>34.0</v>
      </c>
      <c r="M31" s="68">
        <v>31.0</v>
      </c>
      <c r="N31" s="68">
        <v>21.0</v>
      </c>
      <c r="O31" s="68">
        <v>16.0</v>
      </c>
      <c r="P31" s="68">
        <v>25.0</v>
      </c>
      <c r="Q31" s="68">
        <v>25.0</v>
      </c>
      <c r="R31" s="68">
        <v>20.0</v>
      </c>
      <c r="S31" s="68">
        <v>18.0</v>
      </c>
      <c r="T31" s="68">
        <v>41.0</v>
      </c>
      <c r="U31" s="68">
        <v>22.0</v>
      </c>
      <c r="V31" s="68">
        <v>32.0</v>
      </c>
      <c r="W31" s="68">
        <v>35.0</v>
      </c>
      <c r="X31" s="68">
        <v>54.0</v>
      </c>
      <c r="Y31" s="68">
        <v>52.0</v>
      </c>
      <c r="Z31" s="68">
        <v>25.0</v>
      </c>
      <c r="AA31" s="68">
        <v>15.0</v>
      </c>
      <c r="AB31" s="68">
        <v>15.0</v>
      </c>
      <c r="AC31" s="68">
        <v>12.0</v>
      </c>
      <c r="AD31" s="68">
        <v>11.0</v>
      </c>
      <c r="AE31" s="68">
        <v>13.0</v>
      </c>
      <c r="AF31" s="68">
        <v>9.0</v>
      </c>
      <c r="AG31" s="68">
        <v>2.0</v>
      </c>
      <c r="AH31" s="28" t="s">
        <v>79</v>
      </c>
    </row>
    <row r="32">
      <c r="B32" s="25" t="s">
        <v>80</v>
      </c>
      <c r="C32" s="68">
        <v>24.0</v>
      </c>
      <c r="D32" s="68">
        <v>24.0</v>
      </c>
      <c r="E32" s="68">
        <v>25.0</v>
      </c>
      <c r="F32" s="68">
        <v>27.0</v>
      </c>
      <c r="G32" s="68">
        <v>30.0</v>
      </c>
      <c r="H32" s="68">
        <v>33.0</v>
      </c>
      <c r="I32" s="68">
        <v>37.0</v>
      </c>
      <c r="J32" s="68">
        <v>32.0</v>
      </c>
      <c r="K32" s="68">
        <v>24.0</v>
      </c>
      <c r="L32" s="68">
        <v>23.0</v>
      </c>
      <c r="M32" s="68">
        <v>24.0</v>
      </c>
      <c r="N32" s="68">
        <v>29.0</v>
      </c>
      <c r="O32" s="68">
        <v>29.0</v>
      </c>
      <c r="P32" s="68">
        <v>35.0</v>
      </c>
      <c r="Q32" s="68">
        <v>32.0</v>
      </c>
      <c r="R32" s="68">
        <v>32.0</v>
      </c>
      <c r="S32" s="68">
        <v>25.0</v>
      </c>
      <c r="T32" s="68">
        <v>16.0</v>
      </c>
      <c r="U32" s="68">
        <v>15.0</v>
      </c>
      <c r="V32" s="68">
        <v>17.0</v>
      </c>
      <c r="W32" s="68">
        <v>16.0</v>
      </c>
      <c r="X32" s="68">
        <v>21.0</v>
      </c>
      <c r="Y32" s="68">
        <v>20.0</v>
      </c>
      <c r="Z32" s="68">
        <v>19.0</v>
      </c>
      <c r="AA32" s="68">
        <v>26.0</v>
      </c>
      <c r="AB32" s="68">
        <v>23.0</v>
      </c>
      <c r="AC32" s="68">
        <v>22.0</v>
      </c>
      <c r="AD32" s="68">
        <v>21.0</v>
      </c>
      <c r="AE32" s="68">
        <v>21.0</v>
      </c>
      <c r="AF32" s="68">
        <v>19.0</v>
      </c>
      <c r="AG32" s="68">
        <v>18.0</v>
      </c>
      <c r="AH32" s="28" t="s">
        <v>80</v>
      </c>
    </row>
    <row r="33">
      <c r="B33" s="25" t="s">
        <v>81</v>
      </c>
      <c r="C33" s="68">
        <v>36.0</v>
      </c>
      <c r="D33" s="68">
        <v>35.0</v>
      </c>
      <c r="E33" s="68">
        <v>24.0</v>
      </c>
      <c r="F33" s="68">
        <v>35.0</v>
      </c>
      <c r="G33" s="68">
        <v>29.0</v>
      </c>
      <c r="H33" s="68">
        <v>33.0</v>
      </c>
      <c r="I33" s="68">
        <v>24.0</v>
      </c>
      <c r="J33" s="68">
        <v>24.0</v>
      </c>
      <c r="K33" s="68">
        <v>45.0</v>
      </c>
      <c r="L33" s="68">
        <v>46.0</v>
      </c>
      <c r="M33" s="68">
        <v>44.0</v>
      </c>
      <c r="N33" s="68">
        <v>35.0</v>
      </c>
      <c r="O33" s="68">
        <v>33.0</v>
      </c>
      <c r="P33" s="68">
        <v>10.0</v>
      </c>
      <c r="Q33" s="68">
        <v>22.0</v>
      </c>
      <c r="R33" s="68">
        <v>23.0</v>
      </c>
      <c r="S33" s="68">
        <v>43.0</v>
      </c>
      <c r="T33" s="68">
        <v>44.0</v>
      </c>
      <c r="U33" s="68">
        <v>47.0</v>
      </c>
      <c r="V33" s="68">
        <v>42.0</v>
      </c>
      <c r="W33" s="68">
        <v>47.0</v>
      </c>
      <c r="X33" s="68">
        <v>50.0</v>
      </c>
      <c r="Y33" s="68">
        <v>49.0</v>
      </c>
      <c r="Z33" s="68">
        <v>52.0</v>
      </c>
      <c r="AA33" s="68">
        <v>37.0</v>
      </c>
      <c r="AB33" s="68">
        <v>46.0</v>
      </c>
      <c r="AC33" s="68">
        <v>47.0</v>
      </c>
      <c r="AD33" s="68">
        <v>46.0</v>
      </c>
      <c r="AE33" s="68">
        <v>47.0</v>
      </c>
      <c r="AF33" s="68">
        <v>32.0</v>
      </c>
      <c r="AG33" s="68">
        <v>44.0</v>
      </c>
      <c r="AH33" s="28" t="s">
        <v>81</v>
      </c>
    </row>
    <row r="34">
      <c r="B34" s="25" t="s">
        <v>82</v>
      </c>
      <c r="C34" s="68">
        <v>23.0</v>
      </c>
      <c r="D34" s="68">
        <v>18.0</v>
      </c>
      <c r="E34" s="68">
        <v>21.0</v>
      </c>
      <c r="F34" s="68">
        <v>26.0</v>
      </c>
      <c r="G34" s="68">
        <v>26.0</v>
      </c>
      <c r="H34" s="68">
        <v>29.0</v>
      </c>
      <c r="I34" s="68">
        <v>31.0</v>
      </c>
      <c r="J34" s="68">
        <v>29.0</v>
      </c>
      <c r="K34" s="68">
        <v>25.0</v>
      </c>
      <c r="L34" s="68">
        <v>26.0</v>
      </c>
      <c r="M34" s="68">
        <v>27.0</v>
      </c>
      <c r="N34" s="68">
        <v>29.0</v>
      </c>
      <c r="O34" s="68">
        <v>31.0</v>
      </c>
      <c r="P34" s="68">
        <v>25.0</v>
      </c>
      <c r="Q34" s="68">
        <v>35.0</v>
      </c>
      <c r="R34" s="68">
        <v>35.0</v>
      </c>
      <c r="S34" s="68">
        <v>24.0</v>
      </c>
      <c r="T34" s="68">
        <v>22.0</v>
      </c>
      <c r="U34" s="68">
        <v>21.0</v>
      </c>
      <c r="V34" s="68">
        <v>22.0</v>
      </c>
      <c r="W34" s="68">
        <v>21.0</v>
      </c>
      <c r="X34" s="68">
        <v>22.0</v>
      </c>
      <c r="Y34" s="68">
        <v>23.0</v>
      </c>
      <c r="Z34" s="68">
        <v>22.0</v>
      </c>
      <c r="AA34" s="68">
        <v>31.0</v>
      </c>
      <c r="AB34" s="68">
        <v>23.0</v>
      </c>
      <c r="AC34" s="68">
        <v>24.0</v>
      </c>
      <c r="AD34" s="68">
        <v>24.0</v>
      </c>
      <c r="AE34" s="68">
        <v>22.0</v>
      </c>
      <c r="AF34" s="68">
        <v>24.0</v>
      </c>
      <c r="AG34" s="68">
        <v>24.0</v>
      </c>
      <c r="AH34" s="28" t="s">
        <v>82</v>
      </c>
    </row>
    <row r="35">
      <c r="B35" s="25" t="s">
        <v>83</v>
      </c>
      <c r="C35" s="68">
        <v>12.0</v>
      </c>
      <c r="D35" s="68">
        <v>8.0</v>
      </c>
      <c r="E35" s="68">
        <v>6.0</v>
      </c>
      <c r="F35" s="68">
        <v>13.0</v>
      </c>
      <c r="G35" s="68">
        <v>13.0</v>
      </c>
      <c r="H35" s="68">
        <v>17.0</v>
      </c>
      <c r="I35" s="68">
        <v>14.0</v>
      </c>
      <c r="J35" s="68">
        <v>10.0</v>
      </c>
      <c r="K35" s="68">
        <v>-6.0</v>
      </c>
      <c r="L35" s="68">
        <v>-10.0</v>
      </c>
      <c r="M35" s="68">
        <v>-12.0</v>
      </c>
      <c r="N35" s="68">
        <v>-5.0</v>
      </c>
      <c r="O35" s="68">
        <v>0.0</v>
      </c>
      <c r="P35" s="68">
        <v>14.0</v>
      </c>
      <c r="Q35" s="68">
        <v>10.0</v>
      </c>
      <c r="R35" s="68">
        <v>11.0</v>
      </c>
      <c r="S35" s="68">
        <v>5.0</v>
      </c>
      <c r="T35" s="68">
        <v>5.0</v>
      </c>
      <c r="U35" s="68">
        <v>6.0</v>
      </c>
      <c r="V35" s="68">
        <v>6.0</v>
      </c>
      <c r="W35" s="68">
        <v>5.0</v>
      </c>
      <c r="X35" s="68">
        <v>4.0</v>
      </c>
      <c r="Y35" s="68">
        <v>4.0</v>
      </c>
      <c r="Z35" s="68">
        <v>-4.0</v>
      </c>
      <c r="AA35" s="68">
        <v>3.0</v>
      </c>
      <c r="AB35" s="68">
        <v>-2.0</v>
      </c>
      <c r="AC35" s="68">
        <v>-3.0</v>
      </c>
      <c r="AD35" s="68">
        <v>-2.0</v>
      </c>
      <c r="AE35" s="68">
        <v>0.0</v>
      </c>
      <c r="AF35" s="68">
        <v>-10.0</v>
      </c>
      <c r="AG35" s="68">
        <v>-7.0</v>
      </c>
      <c r="AH35" s="28" t="s">
        <v>83</v>
      </c>
    </row>
    <row r="36">
      <c r="B36" s="25" t="s">
        <v>84</v>
      </c>
      <c r="C36" s="27">
        <v>50.0</v>
      </c>
      <c r="D36" s="27">
        <v>33.0</v>
      </c>
      <c r="E36" s="27">
        <v>45.0</v>
      </c>
      <c r="F36" s="27">
        <v>44.0</v>
      </c>
      <c r="G36" s="27">
        <v>34.0</v>
      </c>
      <c r="H36" s="27">
        <v>38.0</v>
      </c>
      <c r="I36" s="27">
        <v>43.0</v>
      </c>
      <c r="J36" s="27">
        <v>33.0</v>
      </c>
      <c r="K36" s="27">
        <v>44.0</v>
      </c>
      <c r="L36" s="27">
        <v>33.0</v>
      </c>
      <c r="M36" s="27">
        <v>31.0</v>
      </c>
      <c r="N36" s="27">
        <v>65.0</v>
      </c>
      <c r="O36" s="27">
        <v>65.0</v>
      </c>
      <c r="P36" s="27">
        <v>40.0</v>
      </c>
      <c r="Q36" s="27">
        <v>52.0</v>
      </c>
      <c r="R36" s="27">
        <v>44.0</v>
      </c>
      <c r="S36" s="27">
        <v>55.0</v>
      </c>
      <c r="T36" s="27">
        <v>64.0</v>
      </c>
      <c r="U36" s="27">
        <v>49.0</v>
      </c>
      <c r="V36" s="27">
        <v>48.0</v>
      </c>
      <c r="W36" s="27">
        <v>56.0</v>
      </c>
      <c r="X36" s="27">
        <v>26.0</v>
      </c>
      <c r="Y36" s="27">
        <v>26.0</v>
      </c>
      <c r="Z36" s="27">
        <v>34.0</v>
      </c>
      <c r="AA36" s="27">
        <v>38.0</v>
      </c>
      <c r="AB36" s="27">
        <v>25.0</v>
      </c>
      <c r="AC36" s="27">
        <v>25.0</v>
      </c>
      <c r="AD36" s="27">
        <v>31.0</v>
      </c>
      <c r="AE36" s="27">
        <v>33.0</v>
      </c>
      <c r="AF36" s="27">
        <v>35.0</v>
      </c>
      <c r="AG36" s="27">
        <v>50.0</v>
      </c>
      <c r="AH36" s="28" t="s">
        <v>84</v>
      </c>
    </row>
    <row r="37">
      <c r="B37" s="69" t="s">
        <v>85</v>
      </c>
      <c r="C37" s="21">
        <v>50.0</v>
      </c>
      <c r="D37" s="21">
        <v>67.0</v>
      </c>
      <c r="E37" s="21">
        <v>55.0</v>
      </c>
      <c r="F37" s="21">
        <v>56.0</v>
      </c>
      <c r="G37" s="21">
        <v>66.0</v>
      </c>
      <c r="H37" s="21">
        <v>62.0</v>
      </c>
      <c r="I37" s="21">
        <v>57.0</v>
      </c>
      <c r="J37" s="21">
        <v>67.0</v>
      </c>
      <c r="K37" s="21">
        <v>56.0</v>
      </c>
      <c r="L37" s="21">
        <v>67.0</v>
      </c>
      <c r="M37" s="21">
        <v>69.0</v>
      </c>
      <c r="N37" s="21">
        <v>35.0</v>
      </c>
      <c r="O37" s="21">
        <v>35.0</v>
      </c>
      <c r="P37" s="21">
        <v>60.0</v>
      </c>
      <c r="Q37" s="21">
        <v>48.0</v>
      </c>
      <c r="R37" s="21">
        <v>56.0</v>
      </c>
      <c r="S37" s="21">
        <v>45.0</v>
      </c>
      <c r="T37" s="21">
        <v>36.0</v>
      </c>
      <c r="U37" s="21">
        <v>51.0</v>
      </c>
      <c r="V37" s="21">
        <v>52.0</v>
      </c>
      <c r="W37" s="21">
        <v>44.0</v>
      </c>
      <c r="X37" s="21">
        <v>74.0</v>
      </c>
      <c r="Y37" s="21">
        <v>74.0</v>
      </c>
      <c r="Z37" s="21">
        <v>66.0</v>
      </c>
      <c r="AA37" s="21">
        <v>62.0</v>
      </c>
      <c r="AB37" s="21">
        <v>75.0</v>
      </c>
      <c r="AC37" s="21">
        <v>75.0</v>
      </c>
      <c r="AD37" s="21">
        <v>69.0</v>
      </c>
      <c r="AE37" s="21">
        <v>67.0</v>
      </c>
      <c r="AF37" s="21">
        <v>65.0</v>
      </c>
      <c r="AG37" s="21">
        <v>50.0</v>
      </c>
      <c r="AH37" s="22" t="s">
        <v>85</v>
      </c>
    </row>
    <row r="38">
      <c r="B38" s="69" t="s">
        <v>86</v>
      </c>
      <c r="C38" s="21">
        <v>181.0</v>
      </c>
      <c r="D38" s="21">
        <v>189.0</v>
      </c>
      <c r="E38" s="21">
        <v>190.0</v>
      </c>
      <c r="F38" s="21">
        <v>194.0</v>
      </c>
      <c r="G38" s="21">
        <v>183.0</v>
      </c>
      <c r="H38" s="21">
        <v>195.0</v>
      </c>
      <c r="I38" s="21">
        <v>195.0</v>
      </c>
      <c r="J38" s="21">
        <v>195.0</v>
      </c>
      <c r="K38" s="21">
        <v>165.0</v>
      </c>
      <c r="L38" s="21">
        <v>172.0</v>
      </c>
      <c r="M38" s="21">
        <v>198.0</v>
      </c>
      <c r="N38" s="21">
        <v>166.0</v>
      </c>
      <c r="O38" s="21">
        <v>165.0</v>
      </c>
      <c r="P38" s="21">
        <v>186.0</v>
      </c>
      <c r="Q38" s="21">
        <v>182.0</v>
      </c>
      <c r="R38" s="21">
        <v>187.0</v>
      </c>
      <c r="S38" s="21">
        <v>187.0</v>
      </c>
      <c r="T38" s="21">
        <v>164.0</v>
      </c>
      <c r="U38" s="21">
        <v>197.0</v>
      </c>
      <c r="V38" s="21">
        <v>161.0</v>
      </c>
      <c r="W38" s="21">
        <v>159.0</v>
      </c>
      <c r="X38" s="21">
        <v>209.0</v>
      </c>
      <c r="Y38" s="21">
        <v>213.0</v>
      </c>
      <c r="Z38" s="21">
        <v>180.0</v>
      </c>
      <c r="AA38" s="21">
        <v>122.0</v>
      </c>
      <c r="AB38" s="21">
        <v>151.0</v>
      </c>
      <c r="AC38" s="21">
        <v>149.0</v>
      </c>
      <c r="AD38" s="21">
        <v>151.0</v>
      </c>
      <c r="AE38" s="21">
        <v>153.0</v>
      </c>
      <c r="AF38" s="21">
        <v>124.0</v>
      </c>
      <c r="AG38" s="21">
        <v>138.0</v>
      </c>
      <c r="AH38" s="22" t="s">
        <v>86</v>
      </c>
    </row>
    <row r="39">
      <c r="B39" s="69" t="s">
        <v>87</v>
      </c>
      <c r="C39" s="21">
        <v>128.0</v>
      </c>
      <c r="D39" s="21">
        <v>124.0</v>
      </c>
      <c r="E39" s="21">
        <v>118.0</v>
      </c>
      <c r="F39" s="21">
        <v>149.0</v>
      </c>
      <c r="G39" s="21">
        <v>122.0</v>
      </c>
      <c r="H39" s="21">
        <v>151.0</v>
      </c>
      <c r="I39" s="21">
        <v>145.0</v>
      </c>
      <c r="J39" s="21">
        <v>133.0</v>
      </c>
      <c r="K39" s="21">
        <v>126.0</v>
      </c>
      <c r="L39" s="21">
        <v>131.0</v>
      </c>
      <c r="M39" s="21">
        <v>162.0</v>
      </c>
      <c r="N39" s="21">
        <v>165.0</v>
      </c>
      <c r="O39" s="21">
        <v>140.0</v>
      </c>
      <c r="P39" s="21">
        <v>138.0</v>
      </c>
      <c r="Q39" s="21">
        <v>156.0</v>
      </c>
      <c r="R39" s="21">
        <v>166.0</v>
      </c>
      <c r="S39" s="21">
        <v>171.0</v>
      </c>
      <c r="T39" s="21">
        <v>128.0</v>
      </c>
      <c r="U39" s="21">
        <v>131.0</v>
      </c>
      <c r="V39" s="21">
        <v>118.0</v>
      </c>
      <c r="W39" s="21">
        <v>119.0</v>
      </c>
      <c r="X39" s="21">
        <v>136.0</v>
      </c>
      <c r="Y39" s="21">
        <v>131.0</v>
      </c>
      <c r="Z39" s="21">
        <v>114.0</v>
      </c>
      <c r="AA39" s="21">
        <v>67.0</v>
      </c>
      <c r="AB39" s="21">
        <v>103.0</v>
      </c>
      <c r="AC39" s="21">
        <v>106.0</v>
      </c>
      <c r="AD39" s="21">
        <v>101.0</v>
      </c>
      <c r="AE39" s="21">
        <v>100.0</v>
      </c>
      <c r="AF39" s="21">
        <v>85.0</v>
      </c>
      <c r="AG39" s="21">
        <v>73.0</v>
      </c>
      <c r="AH39" s="22" t="s">
        <v>87</v>
      </c>
    </row>
    <row r="40">
      <c r="B40" s="70" t="s">
        <v>88</v>
      </c>
      <c r="C40" s="27">
        <v>69.0</v>
      </c>
      <c r="D40" s="27">
        <v>65.0</v>
      </c>
      <c r="E40" s="27">
        <v>70.0</v>
      </c>
      <c r="F40" s="27">
        <v>72.0</v>
      </c>
      <c r="G40" s="27">
        <v>75.0</v>
      </c>
      <c r="H40" s="27">
        <v>71.0</v>
      </c>
      <c r="I40" s="27">
        <v>72.0</v>
      </c>
      <c r="J40" s="27">
        <v>73.0</v>
      </c>
      <c r="K40" s="27">
        <v>74.0</v>
      </c>
      <c r="L40" s="27">
        <v>62.0</v>
      </c>
      <c r="M40" s="27">
        <v>69.0</v>
      </c>
      <c r="N40" s="27">
        <v>65.0</v>
      </c>
      <c r="O40" s="27">
        <v>71.0</v>
      </c>
      <c r="P40" s="27">
        <v>68.0</v>
      </c>
      <c r="Q40" s="27">
        <v>66.0</v>
      </c>
      <c r="R40" s="27">
        <v>65.0</v>
      </c>
      <c r="S40" s="27">
        <v>67.0</v>
      </c>
      <c r="T40" s="27">
        <v>71.0</v>
      </c>
      <c r="U40" s="27">
        <v>81.0</v>
      </c>
      <c r="V40" s="27">
        <v>81.0</v>
      </c>
      <c r="W40" s="27">
        <v>75.0</v>
      </c>
      <c r="X40" s="27">
        <v>82.0</v>
      </c>
      <c r="Y40" s="27">
        <v>84.0</v>
      </c>
      <c r="Z40" s="27">
        <v>78.0</v>
      </c>
      <c r="AA40" s="27">
        <v>53.0</v>
      </c>
      <c r="AB40" s="27">
        <v>58.0</v>
      </c>
      <c r="AC40" s="27">
        <v>58.0</v>
      </c>
      <c r="AD40" s="27">
        <v>59.0</v>
      </c>
      <c r="AE40" s="27">
        <v>51.0</v>
      </c>
      <c r="AF40" s="27">
        <v>68.0</v>
      </c>
      <c r="AG40" s="27">
        <v>50.0</v>
      </c>
      <c r="AH40" s="28" t="s">
        <v>88</v>
      </c>
    </row>
    <row r="41">
      <c r="B41" s="70" t="s">
        <v>89</v>
      </c>
      <c r="C41" s="71">
        <v>63.0</v>
      </c>
      <c r="D41" s="72">
        <v>63.0</v>
      </c>
      <c r="E41" s="27">
        <v>59.0</v>
      </c>
      <c r="F41" s="27">
        <v>71.0</v>
      </c>
      <c r="G41" s="27">
        <v>75.0</v>
      </c>
      <c r="H41" s="27">
        <v>65.0</v>
      </c>
      <c r="I41" s="27">
        <v>68.0</v>
      </c>
      <c r="J41" s="27">
        <v>68.0</v>
      </c>
      <c r="K41" s="27">
        <v>68.0</v>
      </c>
      <c r="L41" s="27">
        <v>60.0</v>
      </c>
      <c r="M41" s="27">
        <v>62.0</v>
      </c>
      <c r="N41" s="27">
        <v>76.0</v>
      </c>
      <c r="O41" s="27">
        <v>79.0</v>
      </c>
      <c r="P41" s="27">
        <v>82.0</v>
      </c>
      <c r="Q41" s="27">
        <v>73.0</v>
      </c>
      <c r="R41" s="27">
        <v>66.0</v>
      </c>
      <c r="S41" s="27">
        <v>91.0</v>
      </c>
      <c r="T41" s="27">
        <v>69.0</v>
      </c>
      <c r="U41" s="27">
        <v>66.0</v>
      </c>
      <c r="V41" s="27">
        <v>70.0</v>
      </c>
      <c r="W41" s="27">
        <v>70.0</v>
      </c>
      <c r="X41" s="27">
        <v>83.0</v>
      </c>
      <c r="Y41" s="27">
        <v>75.0</v>
      </c>
      <c r="Z41" s="27">
        <v>90.2</v>
      </c>
      <c r="AA41" s="27">
        <v>47.6</v>
      </c>
      <c r="AB41" s="27">
        <v>54.0</v>
      </c>
      <c r="AC41" s="27">
        <v>50.0</v>
      </c>
      <c r="AD41" s="27">
        <v>47.0</v>
      </c>
      <c r="AE41" s="27">
        <v>50.0</v>
      </c>
      <c r="AF41" s="27">
        <v>48.0</v>
      </c>
      <c r="AG41" s="27">
        <v>32.0</v>
      </c>
      <c r="AH41" s="28" t="s">
        <v>89</v>
      </c>
    </row>
    <row r="42">
      <c r="B42" s="70" t="s">
        <v>90</v>
      </c>
      <c r="C42" s="71">
        <v>10.4</v>
      </c>
      <c r="D42" s="27">
        <v>9.1</v>
      </c>
      <c r="E42" s="27">
        <v>7.2</v>
      </c>
      <c r="F42" s="27">
        <v>7.5</v>
      </c>
      <c r="G42" s="27">
        <v>12.6</v>
      </c>
      <c r="H42" s="27">
        <v>7.4</v>
      </c>
      <c r="I42" s="27">
        <v>6.4</v>
      </c>
      <c r="J42" s="27">
        <v>9.6</v>
      </c>
      <c r="K42" s="27">
        <v>11.4</v>
      </c>
      <c r="L42" s="27">
        <v>7.8</v>
      </c>
      <c r="M42" s="27">
        <v>5.1</v>
      </c>
      <c r="N42" s="27">
        <v>2.9</v>
      </c>
      <c r="O42" s="27">
        <v>3.4</v>
      </c>
      <c r="P42" s="27">
        <v>7.1</v>
      </c>
      <c r="Q42" s="27">
        <v>5.5</v>
      </c>
      <c r="R42" s="27">
        <v>5.1</v>
      </c>
      <c r="S42" s="27">
        <v>4.8</v>
      </c>
      <c r="T42" s="27">
        <v>7.2</v>
      </c>
      <c r="U42" s="27">
        <v>5.1</v>
      </c>
      <c r="V42" s="27">
        <v>7.5</v>
      </c>
      <c r="W42" s="27">
        <v>7.3</v>
      </c>
      <c r="X42" s="27">
        <v>9.3</v>
      </c>
      <c r="Y42" s="27">
        <v>6.5</v>
      </c>
      <c r="Z42" s="27">
        <v>11.6</v>
      </c>
      <c r="AA42" s="27">
        <v>16.5</v>
      </c>
      <c r="AB42" s="27">
        <v>12.7</v>
      </c>
      <c r="AC42" s="27">
        <v>12.3</v>
      </c>
      <c r="AD42" s="27">
        <v>8.5</v>
      </c>
      <c r="AE42" s="27">
        <v>12.6</v>
      </c>
      <c r="AF42" s="27">
        <v>21.6</v>
      </c>
      <c r="AG42" s="27">
        <v>10.4</v>
      </c>
      <c r="AH42" s="28" t="s">
        <v>90</v>
      </c>
    </row>
    <row r="43">
      <c r="B43" s="70" t="s">
        <v>91</v>
      </c>
      <c r="C43" s="71">
        <v>165.0</v>
      </c>
      <c r="D43" s="27">
        <v>174.0</v>
      </c>
      <c r="E43" s="27">
        <v>99.0</v>
      </c>
      <c r="F43" s="27">
        <v>187.0</v>
      </c>
      <c r="G43" s="27">
        <v>192.0</v>
      </c>
      <c r="H43" s="27">
        <v>194.0</v>
      </c>
      <c r="I43" s="27">
        <v>187.0</v>
      </c>
      <c r="J43" s="27">
        <v>170.0</v>
      </c>
      <c r="K43" s="27">
        <v>195.0</v>
      </c>
      <c r="L43" s="27">
        <v>168.0</v>
      </c>
      <c r="M43" s="27">
        <v>130.0</v>
      </c>
      <c r="N43" s="27">
        <v>189.0</v>
      </c>
      <c r="O43" s="27">
        <v>180.0</v>
      </c>
      <c r="P43" s="27">
        <v>162.0</v>
      </c>
      <c r="Q43" s="27">
        <v>169.0</v>
      </c>
      <c r="R43" s="27">
        <v>199.0</v>
      </c>
      <c r="S43" s="27">
        <v>199.0</v>
      </c>
      <c r="T43" s="27">
        <v>131.0</v>
      </c>
      <c r="U43" s="27">
        <v>119.0</v>
      </c>
      <c r="V43" s="27">
        <v>139.0</v>
      </c>
      <c r="W43" s="27">
        <v>158.0</v>
      </c>
      <c r="X43" s="27">
        <v>78.0</v>
      </c>
      <c r="Y43" s="27">
        <v>92.0</v>
      </c>
      <c r="Z43" s="27">
        <v>95.0</v>
      </c>
      <c r="AA43" s="27">
        <v>138.0</v>
      </c>
      <c r="AB43" s="27">
        <v>123.0</v>
      </c>
      <c r="AC43" s="27">
        <v>104.0</v>
      </c>
      <c r="AD43" s="27">
        <v>143.0</v>
      </c>
      <c r="AE43" s="27">
        <v>119.0</v>
      </c>
      <c r="AF43" s="27">
        <v>214.0</v>
      </c>
      <c r="AG43" s="27">
        <v>114.0</v>
      </c>
      <c r="AH43" s="28" t="s">
        <v>91</v>
      </c>
    </row>
    <row r="44">
      <c r="B44" s="70" t="s">
        <v>92</v>
      </c>
      <c r="C44" s="71">
        <v>31.1</v>
      </c>
      <c r="D44" s="27">
        <v>25.1</v>
      </c>
      <c r="E44" s="27">
        <v>25.5</v>
      </c>
      <c r="F44" s="27">
        <v>28.0</v>
      </c>
      <c r="G44" s="27">
        <v>28.6</v>
      </c>
      <c r="H44" s="27">
        <v>32.9</v>
      </c>
      <c r="I44" s="27">
        <v>28.3</v>
      </c>
      <c r="J44" s="27">
        <v>25.0</v>
      </c>
      <c r="K44" s="27">
        <v>37.5</v>
      </c>
      <c r="L44" s="27">
        <v>33.7</v>
      </c>
      <c r="M44" s="27">
        <v>24.1</v>
      </c>
      <c r="N44" s="27">
        <v>51.0</v>
      </c>
      <c r="O44" s="27">
        <v>47.7</v>
      </c>
      <c r="P44" s="27">
        <v>39.8</v>
      </c>
      <c r="Q44" s="27">
        <v>40.9</v>
      </c>
      <c r="R44" s="27">
        <v>43.4</v>
      </c>
      <c r="S44" s="27">
        <v>39.2</v>
      </c>
      <c r="T44" s="27">
        <v>48.6</v>
      </c>
      <c r="U44" s="27">
        <v>28.0</v>
      </c>
      <c r="V44" s="27">
        <v>27.0</v>
      </c>
      <c r="W44" s="27">
        <v>53.3</v>
      </c>
      <c r="X44" s="27">
        <v>22.6</v>
      </c>
      <c r="Y44" s="27">
        <v>22.2</v>
      </c>
      <c r="Z44" s="27">
        <v>21.9</v>
      </c>
      <c r="AA44" s="27">
        <v>69.2</v>
      </c>
      <c r="AB44" s="27">
        <v>59.7</v>
      </c>
      <c r="AC44" s="27">
        <v>69.8</v>
      </c>
      <c r="AD44" s="27">
        <v>57.4</v>
      </c>
      <c r="AE44" s="27">
        <v>51.6</v>
      </c>
      <c r="AF44" s="27">
        <v>54.8</v>
      </c>
      <c r="AG44" s="27">
        <v>42.5</v>
      </c>
      <c r="AH44" s="28" t="s">
        <v>92</v>
      </c>
    </row>
    <row r="45">
      <c r="B45" s="70" t="s">
        <v>93</v>
      </c>
      <c r="C45" s="71">
        <v>99.9</v>
      </c>
      <c r="D45" s="27">
        <v>97.7</v>
      </c>
      <c r="E45" s="27">
        <v>88.8</v>
      </c>
      <c r="F45" s="27">
        <v>94.3</v>
      </c>
      <c r="G45" s="27">
        <v>97.1</v>
      </c>
      <c r="H45" s="27">
        <v>98.0</v>
      </c>
      <c r="I45" s="27">
        <v>95.7</v>
      </c>
      <c r="J45" s="27">
        <v>95.0</v>
      </c>
      <c r="K45" s="27">
        <v>65.3</v>
      </c>
      <c r="L45" s="27">
        <v>52.4</v>
      </c>
      <c r="M45" s="27">
        <v>44.5</v>
      </c>
      <c r="N45" s="27">
        <v>66.1</v>
      </c>
      <c r="O45" s="27">
        <v>78.0</v>
      </c>
      <c r="P45" s="27">
        <v>97.1</v>
      </c>
      <c r="Q45" s="27">
        <v>81.9</v>
      </c>
      <c r="R45" s="27">
        <v>82.1</v>
      </c>
      <c r="S45" s="27">
        <v>91.7</v>
      </c>
      <c r="T45" s="27">
        <v>87.7</v>
      </c>
      <c r="U45" s="27">
        <v>90.9</v>
      </c>
      <c r="V45" s="27">
        <v>87.5</v>
      </c>
      <c r="W45" s="27">
        <v>86.9</v>
      </c>
      <c r="X45" s="27">
        <v>87.5</v>
      </c>
      <c r="Y45" s="27">
        <v>87.9</v>
      </c>
      <c r="Z45" s="27">
        <v>60.0</v>
      </c>
      <c r="AA45" s="27">
        <v>84.1</v>
      </c>
      <c r="AB45" s="27">
        <v>74.6</v>
      </c>
      <c r="AC45" s="27">
        <v>73.9</v>
      </c>
      <c r="AD45" s="27">
        <v>77.0</v>
      </c>
      <c r="AE45" s="27">
        <v>75.5</v>
      </c>
      <c r="AF45" s="27">
        <v>55.8</v>
      </c>
      <c r="AG45" s="27">
        <v>64.4</v>
      </c>
      <c r="AH45" s="28" t="s">
        <v>93</v>
      </c>
    </row>
    <row r="46">
      <c r="B46" s="70" t="s">
        <v>94</v>
      </c>
      <c r="C46" s="27">
        <v>6.6</v>
      </c>
      <c r="D46" s="27">
        <v>5.5</v>
      </c>
      <c r="E46" s="27">
        <v>5.2</v>
      </c>
      <c r="F46" s="27">
        <v>6.0</v>
      </c>
      <c r="G46" s="27">
        <v>7.0</v>
      </c>
      <c r="H46" s="27">
        <v>8.5</v>
      </c>
      <c r="I46" s="27">
        <v>8.0</v>
      </c>
      <c r="J46" s="27">
        <v>7.0</v>
      </c>
      <c r="K46" s="27">
        <v>3.8</v>
      </c>
      <c r="L46" s="27">
        <v>3.5</v>
      </c>
      <c r="M46" s="27">
        <v>3.6</v>
      </c>
      <c r="N46" s="27">
        <v>4.2</v>
      </c>
      <c r="O46" s="27">
        <v>4.3</v>
      </c>
      <c r="P46" s="27">
        <v>7.2</v>
      </c>
      <c r="Q46" s="27">
        <v>5.8</v>
      </c>
      <c r="R46" s="27">
        <v>6.1</v>
      </c>
      <c r="S46" s="27">
        <v>3.4</v>
      </c>
      <c r="T46" s="27">
        <v>3.1</v>
      </c>
      <c r="U46" s="27">
        <v>2.9</v>
      </c>
      <c r="V46" s="27">
        <v>3.2</v>
      </c>
      <c r="W46" s="27">
        <v>3.0</v>
      </c>
      <c r="X46" s="27">
        <v>3.1</v>
      </c>
      <c r="Y46" s="27">
        <v>3.1</v>
      </c>
      <c r="Z46" s="27">
        <v>2.5</v>
      </c>
      <c r="AA46" s="27">
        <v>4.1</v>
      </c>
      <c r="AB46" s="27">
        <v>3.2</v>
      </c>
      <c r="AC46" s="27">
        <v>3.3</v>
      </c>
      <c r="AD46" s="27">
        <v>3.1</v>
      </c>
      <c r="AE46" s="27">
        <v>3.0</v>
      </c>
      <c r="AF46" s="27">
        <v>3.0</v>
      </c>
      <c r="AG46" s="27">
        <v>3.1</v>
      </c>
      <c r="AH46" s="28" t="s">
        <v>94</v>
      </c>
    </row>
    <row r="47">
      <c r="B47" s="19" t="s">
        <v>95</v>
      </c>
      <c r="C47" s="73">
        <v>42.5</v>
      </c>
      <c r="D47" s="73">
        <v>41.8</v>
      </c>
      <c r="E47" s="73">
        <v>32.4</v>
      </c>
      <c r="F47" s="73">
        <v>45.1</v>
      </c>
      <c r="G47" s="73">
        <v>65.3</v>
      </c>
      <c r="H47" s="73">
        <v>44.2</v>
      </c>
      <c r="I47" s="73">
        <v>39.0</v>
      </c>
      <c r="J47" s="73">
        <v>35.8</v>
      </c>
      <c r="K47" s="73">
        <v>56.4</v>
      </c>
      <c r="L47" s="73">
        <v>38.5</v>
      </c>
      <c r="M47" s="73">
        <v>41.2</v>
      </c>
      <c r="N47" s="73">
        <v>54.7</v>
      </c>
      <c r="O47" s="73">
        <v>48.6</v>
      </c>
      <c r="P47" s="73">
        <v>72.4</v>
      </c>
      <c r="Q47" s="73">
        <v>52.1</v>
      </c>
      <c r="R47" s="73">
        <v>58.5</v>
      </c>
      <c r="S47" s="73">
        <v>68.2</v>
      </c>
      <c r="T47" s="73">
        <v>34.5</v>
      </c>
      <c r="U47" s="74">
        <v>28.6</v>
      </c>
      <c r="V47" s="73">
        <v>35.2</v>
      </c>
      <c r="W47" s="73">
        <v>38.4</v>
      </c>
      <c r="X47" s="73">
        <v>62.5</v>
      </c>
      <c r="Y47" s="73">
        <v>46.2</v>
      </c>
      <c r="Z47" s="73">
        <v>44.5</v>
      </c>
      <c r="AA47" s="74">
        <v>24.8</v>
      </c>
      <c r="AB47" s="73">
        <v>32.1</v>
      </c>
      <c r="AC47" s="74">
        <v>28.5</v>
      </c>
      <c r="AD47" s="74">
        <v>18.2</v>
      </c>
      <c r="AE47" s="74">
        <v>24.5</v>
      </c>
      <c r="AF47" s="73">
        <v>31.4</v>
      </c>
      <c r="AG47" s="74">
        <v>12.5</v>
      </c>
      <c r="AH47" s="22" t="s">
        <v>95</v>
      </c>
    </row>
    <row r="48">
      <c r="B48" s="19" t="s">
        <v>96</v>
      </c>
      <c r="C48" s="73">
        <v>81.2</v>
      </c>
      <c r="D48" s="73">
        <v>79.1</v>
      </c>
      <c r="E48" s="73">
        <v>78.1</v>
      </c>
      <c r="F48" s="73">
        <v>80.4</v>
      </c>
      <c r="G48" s="73">
        <v>85.0</v>
      </c>
      <c r="H48" s="73">
        <v>82.2</v>
      </c>
      <c r="I48" s="73">
        <v>83.1</v>
      </c>
      <c r="J48" s="73">
        <v>85.2</v>
      </c>
      <c r="K48" s="73">
        <v>78.2</v>
      </c>
      <c r="L48" s="73">
        <v>74.5</v>
      </c>
      <c r="M48" s="73">
        <v>75.1</v>
      </c>
      <c r="N48" s="73">
        <v>89.2</v>
      </c>
      <c r="O48" s="73">
        <v>85.8</v>
      </c>
      <c r="P48" s="73">
        <v>91.5</v>
      </c>
      <c r="Q48" s="73">
        <v>82.4</v>
      </c>
      <c r="R48" s="73">
        <v>80.1</v>
      </c>
      <c r="S48" s="73">
        <v>93.4</v>
      </c>
      <c r="T48" s="73">
        <v>55.4</v>
      </c>
      <c r="U48" s="73">
        <v>54.1</v>
      </c>
      <c r="V48" s="73">
        <v>56.8</v>
      </c>
      <c r="W48" s="73">
        <v>56.2</v>
      </c>
      <c r="X48" s="73">
        <v>65.8</v>
      </c>
      <c r="Y48" s="73">
        <v>64.1</v>
      </c>
      <c r="Z48" s="73">
        <v>92.4</v>
      </c>
      <c r="AA48" s="73">
        <v>42.5</v>
      </c>
      <c r="AB48" s="73">
        <v>41.5</v>
      </c>
      <c r="AC48" s="73">
        <v>39.8</v>
      </c>
      <c r="AD48" s="73">
        <v>38.4</v>
      </c>
      <c r="AE48" s="73">
        <v>40.2</v>
      </c>
      <c r="AF48" s="73">
        <v>36.5</v>
      </c>
      <c r="AG48" s="73">
        <v>33.1</v>
      </c>
      <c r="AH48" s="22" t="s">
        <v>96</v>
      </c>
    </row>
    <row r="49">
      <c r="B49" s="19" t="s">
        <v>97</v>
      </c>
      <c r="C49" s="75">
        <v>220.0</v>
      </c>
      <c r="D49" s="75">
        <v>235.0</v>
      </c>
      <c r="E49" s="75">
        <v>210.0</v>
      </c>
      <c r="F49" s="75">
        <v>115.0</v>
      </c>
      <c r="G49" s="75">
        <v>125.0</v>
      </c>
      <c r="H49" s="75">
        <v>120.0</v>
      </c>
      <c r="I49" s="75">
        <v>110.0</v>
      </c>
      <c r="J49" s="75">
        <v>105.0</v>
      </c>
      <c r="K49" s="75">
        <v>240.0</v>
      </c>
      <c r="L49" s="75">
        <v>230.0</v>
      </c>
      <c r="M49" s="75">
        <v>245.0</v>
      </c>
      <c r="N49" s="75">
        <v>280.0</v>
      </c>
      <c r="O49" s="75">
        <v>265.0</v>
      </c>
      <c r="P49" s="75">
        <v>290.0</v>
      </c>
      <c r="Q49" s="75">
        <v>310.0</v>
      </c>
      <c r="R49" s="75">
        <v>320.0</v>
      </c>
      <c r="S49" s="75">
        <v>305.0</v>
      </c>
      <c r="T49" s="75">
        <v>145.0</v>
      </c>
      <c r="U49" s="75">
        <v>140.0</v>
      </c>
      <c r="V49" s="75">
        <v>155.0</v>
      </c>
      <c r="W49" s="75">
        <v>165.0</v>
      </c>
      <c r="X49" s="75">
        <v>195.0</v>
      </c>
      <c r="Y49" s="75">
        <v>200.0</v>
      </c>
      <c r="Z49" s="75">
        <v>215.0</v>
      </c>
      <c r="AA49" s="75">
        <v>95.0</v>
      </c>
      <c r="AB49" s="75">
        <v>185.0</v>
      </c>
      <c r="AC49" s="75">
        <v>170.0</v>
      </c>
      <c r="AD49" s="75">
        <v>160.0</v>
      </c>
      <c r="AE49" s="75">
        <v>175.0</v>
      </c>
      <c r="AF49" s="75">
        <v>105.0</v>
      </c>
      <c r="AG49" s="75">
        <v>85.0</v>
      </c>
      <c r="AH49" s="22" t="s">
        <v>97</v>
      </c>
    </row>
    <row r="50">
      <c r="B50" s="19" t="s">
        <v>98</v>
      </c>
      <c r="C50" s="21">
        <v>0.5</v>
      </c>
      <c r="D50" s="21">
        <v>0.5</v>
      </c>
      <c r="E50" s="21">
        <v>0.5</v>
      </c>
      <c r="F50" s="21">
        <v>0.5</v>
      </c>
      <c r="G50" s="21">
        <v>0.5</v>
      </c>
      <c r="H50" s="21">
        <v>1.0</v>
      </c>
      <c r="I50" s="21">
        <v>0.5</v>
      </c>
      <c r="J50" s="21">
        <v>0.5</v>
      </c>
      <c r="K50" s="21">
        <v>1.5</v>
      </c>
      <c r="L50" s="21">
        <v>6.5</v>
      </c>
      <c r="M50" s="21">
        <v>6.5</v>
      </c>
      <c r="N50" s="21">
        <v>12.0</v>
      </c>
      <c r="O50" s="21">
        <v>1.5</v>
      </c>
      <c r="P50" s="21">
        <v>0.5</v>
      </c>
      <c r="Q50" s="21">
        <v>4.5</v>
      </c>
      <c r="R50" s="21">
        <v>3.0</v>
      </c>
      <c r="S50" s="21">
        <v>0.5</v>
      </c>
      <c r="T50" s="21">
        <v>2.5</v>
      </c>
      <c r="U50" s="21">
        <v>0.5</v>
      </c>
      <c r="V50" s="21">
        <v>0.5</v>
      </c>
      <c r="W50" s="21">
        <v>1.0</v>
      </c>
      <c r="X50" s="21">
        <v>0.5</v>
      </c>
      <c r="Y50" s="21">
        <v>0.5</v>
      </c>
      <c r="Z50" s="21">
        <v>0.5</v>
      </c>
      <c r="AA50" s="21">
        <v>6.5</v>
      </c>
      <c r="AB50" s="21">
        <v>4.0</v>
      </c>
      <c r="AC50" s="21">
        <v>6.5</v>
      </c>
      <c r="AD50" s="21">
        <v>4.0</v>
      </c>
      <c r="AE50" s="21">
        <v>0.5</v>
      </c>
      <c r="AF50" s="21">
        <v>10.0</v>
      </c>
      <c r="AG50" s="21">
        <v>6.5</v>
      </c>
      <c r="AH50" s="22" t="s">
        <v>98</v>
      </c>
    </row>
    <row r="51">
      <c r="B51" s="19" t="s">
        <v>99</v>
      </c>
      <c r="C51" s="21">
        <v>0.5</v>
      </c>
      <c r="D51" s="21">
        <v>0.5</v>
      </c>
      <c r="E51" s="21">
        <v>0.5</v>
      </c>
      <c r="F51" s="21">
        <v>1.0</v>
      </c>
      <c r="G51" s="21">
        <v>0.5</v>
      </c>
      <c r="H51" s="21">
        <v>0.5</v>
      </c>
      <c r="I51" s="21">
        <v>0.5</v>
      </c>
      <c r="J51" s="21">
        <v>0.5</v>
      </c>
      <c r="K51" s="21">
        <v>1.0</v>
      </c>
      <c r="L51" s="21">
        <v>0.5</v>
      </c>
      <c r="M51" s="21">
        <v>0.5</v>
      </c>
      <c r="N51" s="21">
        <v>1.0</v>
      </c>
      <c r="O51" s="21">
        <v>0.5</v>
      </c>
      <c r="P51" s="21">
        <v>1.0</v>
      </c>
      <c r="Q51" s="21">
        <v>0.5</v>
      </c>
      <c r="R51" s="21">
        <v>0.5</v>
      </c>
      <c r="S51" s="21">
        <v>0.5</v>
      </c>
      <c r="T51" s="21">
        <v>0.5</v>
      </c>
      <c r="U51" s="21">
        <v>1.0</v>
      </c>
      <c r="V51" s="21">
        <v>0.5</v>
      </c>
      <c r="W51" s="21">
        <v>0.5</v>
      </c>
      <c r="X51" s="21">
        <v>0.5</v>
      </c>
      <c r="Y51" s="21">
        <v>0.5</v>
      </c>
      <c r="Z51" s="21">
        <v>0.5</v>
      </c>
      <c r="AA51" s="21">
        <v>0.5</v>
      </c>
      <c r="AB51" s="21">
        <v>0.5</v>
      </c>
      <c r="AC51" s="21">
        <v>0.5</v>
      </c>
      <c r="AD51" s="21">
        <v>0.5</v>
      </c>
      <c r="AE51" s="21">
        <v>0.5</v>
      </c>
      <c r="AF51" s="21">
        <v>0.5</v>
      </c>
      <c r="AG51" s="21">
        <v>0.5</v>
      </c>
      <c r="AH51" s="22" t="s">
        <v>99</v>
      </c>
    </row>
    <row r="52">
      <c r="B52" s="19" t="s">
        <v>100</v>
      </c>
      <c r="C52" s="21">
        <v>4.5</v>
      </c>
      <c r="D52" s="21">
        <v>2.0</v>
      </c>
      <c r="E52" s="21">
        <v>1.5</v>
      </c>
      <c r="F52" s="21">
        <v>3.0</v>
      </c>
      <c r="G52" s="21">
        <v>2.0</v>
      </c>
      <c r="H52" s="21">
        <v>1.5</v>
      </c>
      <c r="I52" s="21">
        <v>5.5</v>
      </c>
      <c r="J52" s="21">
        <v>0.5</v>
      </c>
      <c r="K52" s="21">
        <v>2.0</v>
      </c>
      <c r="L52" s="21">
        <v>1.5</v>
      </c>
      <c r="M52" s="21">
        <v>0.5</v>
      </c>
      <c r="N52" s="21">
        <v>10.0</v>
      </c>
      <c r="O52" s="21">
        <v>2.0</v>
      </c>
      <c r="P52" s="21">
        <v>1.5</v>
      </c>
      <c r="Q52" s="21">
        <v>12.0</v>
      </c>
      <c r="R52" s="21">
        <v>8.5</v>
      </c>
      <c r="S52" s="21">
        <v>1.0</v>
      </c>
      <c r="T52" s="21">
        <v>2.0</v>
      </c>
      <c r="U52" s="21">
        <v>1.5</v>
      </c>
      <c r="V52" s="21">
        <v>3.0</v>
      </c>
      <c r="W52" s="21">
        <v>0.5</v>
      </c>
      <c r="X52" s="21">
        <v>8.5</v>
      </c>
      <c r="Y52" s="21">
        <v>8.5</v>
      </c>
      <c r="Z52" s="21">
        <v>2.0</v>
      </c>
      <c r="AA52" s="21">
        <v>4.0</v>
      </c>
      <c r="AB52" s="21">
        <v>6.0</v>
      </c>
      <c r="AC52" s="21">
        <v>2.0</v>
      </c>
      <c r="AD52" s="21">
        <v>3.5</v>
      </c>
      <c r="AE52" s="21">
        <v>7.5</v>
      </c>
      <c r="AF52" s="21">
        <v>2.0</v>
      </c>
      <c r="AG52" s="21">
        <v>12.0</v>
      </c>
      <c r="AH52" s="22" t="s">
        <v>100</v>
      </c>
    </row>
    <row r="53">
      <c r="B53" s="2"/>
      <c r="C53" s="1"/>
      <c r="D53" s="1"/>
      <c r="E53" s="1"/>
      <c r="F53" s="1"/>
      <c r="G53" s="1"/>
      <c r="H53" s="1"/>
      <c r="M53" s="1"/>
      <c r="AH53" s="2"/>
    </row>
    <row r="54">
      <c r="A54" s="2" t="s">
        <v>4</v>
      </c>
      <c r="B54" s="3">
        <v>46151.0</v>
      </c>
      <c r="C54" s="1"/>
      <c r="D54" s="1"/>
      <c r="E54" s="1"/>
      <c r="F54" s="1"/>
      <c r="G54" s="1"/>
      <c r="H54" s="1"/>
      <c r="M54" s="1"/>
      <c r="AH54" s="1"/>
    </row>
    <row r="55">
      <c r="B55" s="76" t="s">
        <v>101</v>
      </c>
      <c r="C55" s="56" t="s">
        <v>47</v>
      </c>
      <c r="D55" s="56" t="s">
        <v>48</v>
      </c>
      <c r="E55" s="56" t="s">
        <v>49</v>
      </c>
      <c r="F55" s="57" t="s">
        <v>50</v>
      </c>
      <c r="G55" s="57" t="s">
        <v>51</v>
      </c>
      <c r="H55" s="58" t="s">
        <v>52</v>
      </c>
      <c r="I55" s="57" t="s">
        <v>53</v>
      </c>
      <c r="J55" s="59" t="s">
        <v>54</v>
      </c>
      <c r="K55" s="60" t="s">
        <v>55</v>
      </c>
      <c r="L55" s="60" t="s">
        <v>56</v>
      </c>
      <c r="M55" s="60" t="s">
        <v>57</v>
      </c>
      <c r="N55" s="61" t="s">
        <v>58</v>
      </c>
      <c r="O55" s="61" t="s">
        <v>59</v>
      </c>
      <c r="P55" s="61" t="s">
        <v>60</v>
      </c>
      <c r="Q55" s="61" t="s">
        <v>61</v>
      </c>
      <c r="R55" s="61" t="s">
        <v>62</v>
      </c>
      <c r="S55" s="61" t="s">
        <v>63</v>
      </c>
      <c r="T55" s="62" t="s">
        <v>64</v>
      </c>
      <c r="U55" s="62" t="s">
        <v>65</v>
      </c>
      <c r="V55" s="62" t="s">
        <v>66</v>
      </c>
      <c r="W55" s="62" t="s">
        <v>67</v>
      </c>
      <c r="X55" s="63" t="s">
        <v>68</v>
      </c>
      <c r="Y55" s="63" t="s">
        <v>69</v>
      </c>
      <c r="Z55" s="64" t="s">
        <v>70</v>
      </c>
      <c r="AA55" s="65" t="s">
        <v>71</v>
      </c>
      <c r="AB55" s="66" t="s">
        <v>72</v>
      </c>
      <c r="AC55" s="66" t="s">
        <v>73</v>
      </c>
      <c r="AD55" s="66" t="s">
        <v>74</v>
      </c>
      <c r="AE55" s="66" t="s">
        <v>75</v>
      </c>
      <c r="AF55" s="77" t="s">
        <v>76</v>
      </c>
      <c r="AG55" s="67" t="s">
        <v>77</v>
      </c>
      <c r="AH55" s="78" t="s">
        <v>101</v>
      </c>
    </row>
    <row r="56">
      <c r="B56" s="70" t="s">
        <v>102</v>
      </c>
      <c r="C56" s="79">
        <f t="shared" ref="C56:AG56" si="1">SUM(C57*2 +C58 + C59*0.5 + C61*5 + C62*1.5 + C63 + C64 + C65*1.5 + C66 + C67 + C68 + C69*0.5 + C70*0.5 + C71) * 4.3</f>
        <v>272.018</v>
      </c>
      <c r="D56" s="79">
        <f t="shared" si="1"/>
        <v>290.035</v>
      </c>
      <c r="E56" s="79">
        <f t="shared" si="1"/>
        <v>281.3275</v>
      </c>
      <c r="F56" s="79">
        <f t="shared" si="1"/>
        <v>324.5855</v>
      </c>
      <c r="G56" s="79">
        <f t="shared" si="1"/>
        <v>301.86</v>
      </c>
      <c r="H56" s="79">
        <f t="shared" si="1"/>
        <v>306.848</v>
      </c>
      <c r="I56" s="79">
        <f t="shared" si="1"/>
        <v>294.249</v>
      </c>
      <c r="J56" s="79">
        <f t="shared" si="1"/>
        <v>324.263</v>
      </c>
      <c r="K56" s="79">
        <f t="shared" si="1"/>
        <v>323.5965</v>
      </c>
      <c r="L56" s="79">
        <f t="shared" si="1"/>
        <v>312.524</v>
      </c>
      <c r="M56" s="79">
        <f t="shared" si="1"/>
        <v>323.532</v>
      </c>
      <c r="N56" s="79">
        <f t="shared" si="1"/>
        <v>385.9035</v>
      </c>
      <c r="O56" s="79">
        <f t="shared" si="1"/>
        <v>414.1115</v>
      </c>
      <c r="P56" s="79">
        <f t="shared" si="1"/>
        <v>379.948</v>
      </c>
      <c r="Q56" s="79">
        <f t="shared" si="1"/>
        <v>359.7595</v>
      </c>
      <c r="R56" s="79">
        <f t="shared" si="1"/>
        <v>358.835</v>
      </c>
      <c r="S56" s="79">
        <f t="shared" si="1"/>
        <v>465.8835</v>
      </c>
      <c r="T56" s="79">
        <f t="shared" si="1"/>
        <v>265.31</v>
      </c>
      <c r="U56" s="79">
        <f t="shared" si="1"/>
        <v>256.7315</v>
      </c>
      <c r="V56" s="79">
        <f t="shared" si="1"/>
        <v>272.362</v>
      </c>
      <c r="W56" s="79">
        <f t="shared" si="1"/>
        <v>264.6435</v>
      </c>
      <c r="X56" s="79">
        <f t="shared" si="1"/>
        <v>359.0715</v>
      </c>
      <c r="Y56" s="79">
        <f t="shared" si="1"/>
        <v>330.1325</v>
      </c>
      <c r="Z56" s="79">
        <f t="shared" si="1"/>
        <v>490.8665</v>
      </c>
      <c r="AA56" s="79">
        <f t="shared" si="1"/>
        <v>207.3245</v>
      </c>
      <c r="AB56" s="79">
        <f t="shared" si="1"/>
        <v>217.064</v>
      </c>
      <c r="AC56" s="79">
        <f t="shared" si="1"/>
        <v>199.7995</v>
      </c>
      <c r="AD56" s="79">
        <f t="shared" si="1"/>
        <v>196.4025</v>
      </c>
      <c r="AE56" s="79">
        <f t="shared" si="1"/>
        <v>194.1235</v>
      </c>
      <c r="AF56" s="79">
        <f t="shared" si="1"/>
        <v>210.9795</v>
      </c>
      <c r="AG56" s="79">
        <f t="shared" si="1"/>
        <v>162.196</v>
      </c>
      <c r="AH56" s="80" t="s">
        <v>103</v>
      </c>
    </row>
    <row r="57">
      <c r="B57" s="27" t="s">
        <v>104</v>
      </c>
      <c r="C57" s="27">
        <v>1.88</v>
      </c>
      <c r="D57" s="27">
        <v>2.09</v>
      </c>
      <c r="E57" s="27">
        <v>1.94</v>
      </c>
      <c r="F57" s="27">
        <v>1.89</v>
      </c>
      <c r="G57" s="27">
        <v>1.92</v>
      </c>
      <c r="H57" s="27">
        <v>1.76</v>
      </c>
      <c r="I57" s="27">
        <v>1.74</v>
      </c>
      <c r="J57" s="27">
        <v>2.1</v>
      </c>
      <c r="K57" s="27">
        <v>2.8</v>
      </c>
      <c r="L57" s="27">
        <v>2.29</v>
      </c>
      <c r="M57" s="27">
        <v>2.38</v>
      </c>
      <c r="N57" s="27">
        <v>1.27</v>
      </c>
      <c r="O57" s="27">
        <v>1.45</v>
      </c>
      <c r="P57" s="27">
        <v>1.24</v>
      </c>
      <c r="Q57" s="27">
        <v>0.95</v>
      </c>
      <c r="R57" s="27">
        <v>1.02</v>
      </c>
      <c r="S57" s="27">
        <v>1.34</v>
      </c>
      <c r="T57" s="27">
        <v>1.91</v>
      </c>
      <c r="U57" s="27">
        <v>1.8</v>
      </c>
      <c r="V57" s="27">
        <v>1.85</v>
      </c>
      <c r="W57" s="27">
        <v>1.54</v>
      </c>
      <c r="X57" s="81">
        <v>1.79</v>
      </c>
      <c r="Y57" s="27">
        <v>1.45</v>
      </c>
      <c r="Z57" s="27">
        <v>2.64</v>
      </c>
      <c r="AA57" s="27">
        <v>1.48</v>
      </c>
      <c r="AB57" s="27">
        <v>1.19</v>
      </c>
      <c r="AC57" s="27">
        <v>1.22</v>
      </c>
      <c r="AD57" s="27">
        <v>1.08</v>
      </c>
      <c r="AE57" s="27">
        <v>1.08</v>
      </c>
      <c r="AF57" s="27">
        <v>1.39</v>
      </c>
      <c r="AG57" s="27">
        <v>0.96</v>
      </c>
      <c r="AH57" s="27" t="s">
        <v>104</v>
      </c>
    </row>
    <row r="58">
      <c r="B58" s="27" t="s">
        <v>105</v>
      </c>
      <c r="C58" s="27">
        <v>2.21</v>
      </c>
      <c r="D58" s="27">
        <v>2.17</v>
      </c>
      <c r="E58" s="27">
        <v>1.92</v>
      </c>
      <c r="F58" s="27">
        <v>3.18</v>
      </c>
      <c r="G58" s="27">
        <v>2.66</v>
      </c>
      <c r="H58" s="27">
        <v>2.71</v>
      </c>
      <c r="I58" s="27">
        <v>2.93</v>
      </c>
      <c r="J58" s="27">
        <v>3.09</v>
      </c>
      <c r="K58" s="27">
        <v>2.95</v>
      </c>
      <c r="L58" s="27">
        <v>3.32</v>
      </c>
      <c r="M58" s="27">
        <v>2.95</v>
      </c>
      <c r="N58" s="27">
        <v>4.08</v>
      </c>
      <c r="O58" s="27">
        <v>4.35</v>
      </c>
      <c r="P58" s="27">
        <v>4.89</v>
      </c>
      <c r="Q58" s="27">
        <v>3.65</v>
      </c>
      <c r="R58" s="27">
        <v>3.66</v>
      </c>
      <c r="S58" s="27">
        <v>5.32</v>
      </c>
      <c r="T58" s="27">
        <v>1.75</v>
      </c>
      <c r="U58" s="27">
        <v>1.66</v>
      </c>
      <c r="V58" s="27">
        <v>1.74</v>
      </c>
      <c r="W58" s="27">
        <v>1.92</v>
      </c>
      <c r="X58" s="81">
        <v>2.78</v>
      </c>
      <c r="Y58" s="27">
        <v>2.45</v>
      </c>
      <c r="Z58" s="27">
        <v>4.15</v>
      </c>
      <c r="AA58" s="27">
        <v>1.07</v>
      </c>
      <c r="AB58" s="27">
        <v>1.59</v>
      </c>
      <c r="AC58" s="27">
        <v>1.65</v>
      </c>
      <c r="AD58" s="27">
        <v>1.19</v>
      </c>
      <c r="AE58" s="27">
        <v>1.37</v>
      </c>
      <c r="AF58" s="27">
        <v>1.09</v>
      </c>
      <c r="AG58" s="27">
        <v>0.69</v>
      </c>
      <c r="AH58" s="27" t="s">
        <v>105</v>
      </c>
    </row>
    <row r="59">
      <c r="B59" s="27" t="s">
        <v>106</v>
      </c>
      <c r="C59" s="27">
        <v>6.39</v>
      </c>
      <c r="D59" s="27">
        <v>7.25</v>
      </c>
      <c r="E59" s="27">
        <v>8.71</v>
      </c>
      <c r="F59" s="27">
        <v>6.15</v>
      </c>
      <c r="G59" s="27">
        <v>5.86</v>
      </c>
      <c r="H59" s="27">
        <v>5.11</v>
      </c>
      <c r="I59" s="27">
        <v>5.66</v>
      </c>
      <c r="J59" s="27">
        <v>5.76</v>
      </c>
      <c r="K59" s="27">
        <v>3.62</v>
      </c>
      <c r="L59" s="27">
        <v>3.61</v>
      </c>
      <c r="M59" s="27">
        <v>3.26</v>
      </c>
      <c r="N59" s="27">
        <v>4.83</v>
      </c>
      <c r="O59" s="27">
        <v>4.94</v>
      </c>
      <c r="P59" s="27">
        <v>6.35</v>
      </c>
      <c r="Q59" s="27">
        <v>4.7</v>
      </c>
      <c r="R59" s="27">
        <v>4.57</v>
      </c>
      <c r="S59" s="27">
        <v>6.25</v>
      </c>
      <c r="T59" s="27">
        <v>3.83</v>
      </c>
      <c r="U59" s="27">
        <v>3.92</v>
      </c>
      <c r="V59" s="27">
        <v>4.64</v>
      </c>
      <c r="W59" s="27">
        <v>3.76</v>
      </c>
      <c r="X59" s="81">
        <v>5.57</v>
      </c>
      <c r="Y59" s="27">
        <v>5.32</v>
      </c>
      <c r="Z59" s="27">
        <v>6.07</v>
      </c>
      <c r="AA59" s="27">
        <v>2.76</v>
      </c>
      <c r="AB59" s="27">
        <v>4.16</v>
      </c>
      <c r="AC59" s="27">
        <v>4.33</v>
      </c>
      <c r="AD59" s="27">
        <v>3.54</v>
      </c>
      <c r="AE59" s="27">
        <v>3.89</v>
      </c>
      <c r="AF59" s="27">
        <v>1.95</v>
      </c>
      <c r="AG59" s="27">
        <v>1.68</v>
      </c>
      <c r="AH59" s="27" t="s">
        <v>106</v>
      </c>
    </row>
    <row r="60">
      <c r="B60" s="27" t="s">
        <v>107</v>
      </c>
      <c r="C60" s="27">
        <v>9.41</v>
      </c>
      <c r="D60" s="27">
        <v>8.71</v>
      </c>
      <c r="E60" s="27">
        <v>8.3</v>
      </c>
      <c r="F60" s="27">
        <v>11.34</v>
      </c>
      <c r="G60" s="27">
        <v>13.91</v>
      </c>
      <c r="H60" s="27">
        <v>9.54</v>
      </c>
      <c r="I60" s="27">
        <v>9.77</v>
      </c>
      <c r="J60" s="27">
        <v>10.57</v>
      </c>
      <c r="K60" s="27">
        <v>10.95</v>
      </c>
      <c r="L60" s="27">
        <v>13.25</v>
      </c>
      <c r="M60" s="27">
        <v>9.48</v>
      </c>
      <c r="N60" s="27">
        <v>14.27</v>
      </c>
      <c r="O60" s="27">
        <v>13.54</v>
      </c>
      <c r="P60" s="27">
        <v>15.51</v>
      </c>
      <c r="Q60" s="27">
        <v>14.17</v>
      </c>
      <c r="R60" s="27">
        <v>12.12</v>
      </c>
      <c r="S60" s="27">
        <v>21.4</v>
      </c>
      <c r="T60" s="27">
        <v>11.97</v>
      </c>
      <c r="U60" s="27">
        <v>7.76</v>
      </c>
      <c r="V60" s="27">
        <v>10.39</v>
      </c>
      <c r="W60" s="27">
        <v>10.43</v>
      </c>
      <c r="X60" s="81">
        <v>15.37</v>
      </c>
      <c r="Y60" s="27">
        <v>14.26</v>
      </c>
      <c r="Z60" s="27">
        <v>14.58</v>
      </c>
      <c r="AA60" s="27">
        <v>10.62</v>
      </c>
      <c r="AB60" s="27">
        <v>11.0</v>
      </c>
      <c r="AC60" s="27">
        <v>9.31</v>
      </c>
      <c r="AD60" s="27">
        <v>11.57</v>
      </c>
      <c r="AE60" s="27">
        <v>9.41</v>
      </c>
      <c r="AF60" s="27">
        <v>14.17</v>
      </c>
      <c r="AG60" s="27">
        <v>7.83</v>
      </c>
      <c r="AH60" s="27" t="s">
        <v>107</v>
      </c>
    </row>
    <row r="61">
      <c r="B61" s="27" t="s">
        <v>108</v>
      </c>
      <c r="C61" s="27">
        <v>1.06</v>
      </c>
      <c r="D61" s="27">
        <v>1.29</v>
      </c>
      <c r="E61" s="27">
        <v>1.15</v>
      </c>
      <c r="F61" s="27">
        <v>1.88</v>
      </c>
      <c r="G61" s="27">
        <v>1.26</v>
      </c>
      <c r="H61" s="27">
        <v>1.88</v>
      </c>
      <c r="I61" s="27">
        <v>1.47</v>
      </c>
      <c r="J61" s="27">
        <v>2.04</v>
      </c>
      <c r="K61" s="27">
        <v>1.83</v>
      </c>
      <c r="L61" s="27">
        <v>1.5</v>
      </c>
      <c r="M61" s="27">
        <v>1.59</v>
      </c>
      <c r="N61" s="27">
        <v>2.65</v>
      </c>
      <c r="O61" s="27">
        <v>2.49</v>
      </c>
      <c r="P61" s="27">
        <v>2.27</v>
      </c>
      <c r="Q61" s="27">
        <v>2.52</v>
      </c>
      <c r="R61" s="27">
        <v>2.31</v>
      </c>
      <c r="S61" s="27">
        <v>2.61</v>
      </c>
      <c r="T61" s="27">
        <v>1.61</v>
      </c>
      <c r="U61" s="27">
        <v>1.72</v>
      </c>
      <c r="V61" s="27">
        <v>1.82</v>
      </c>
      <c r="W61" s="27">
        <v>1.51</v>
      </c>
      <c r="X61" s="81">
        <v>1.71</v>
      </c>
      <c r="Y61" s="27">
        <v>1.52</v>
      </c>
      <c r="Z61" s="27">
        <v>2.63</v>
      </c>
      <c r="AA61" s="27">
        <v>0.73</v>
      </c>
      <c r="AB61" s="27">
        <v>0.78</v>
      </c>
      <c r="AC61" s="27">
        <v>0.79</v>
      </c>
      <c r="AD61" s="27">
        <v>0.69</v>
      </c>
      <c r="AE61" s="27">
        <v>0.71</v>
      </c>
      <c r="AF61" s="27">
        <v>0.9</v>
      </c>
      <c r="AG61" s="27">
        <v>0.68</v>
      </c>
      <c r="AH61" s="27" t="s">
        <v>108</v>
      </c>
    </row>
    <row r="62">
      <c r="B62" s="27" t="s">
        <v>109</v>
      </c>
      <c r="C62" s="27">
        <v>10.55</v>
      </c>
      <c r="D62" s="27">
        <v>10.15</v>
      </c>
      <c r="E62" s="27">
        <v>9.71</v>
      </c>
      <c r="F62" s="27">
        <v>9.86</v>
      </c>
      <c r="G62" s="27">
        <v>9.94</v>
      </c>
      <c r="H62" s="27">
        <v>9.0</v>
      </c>
      <c r="I62" s="27">
        <v>8.7</v>
      </c>
      <c r="J62" s="27">
        <v>9.25</v>
      </c>
      <c r="K62" s="27">
        <v>13.0</v>
      </c>
      <c r="L62" s="27">
        <v>12.85</v>
      </c>
      <c r="M62" s="27">
        <v>12.04</v>
      </c>
      <c r="N62" s="27">
        <v>14.56</v>
      </c>
      <c r="O62" s="27">
        <v>13.54</v>
      </c>
      <c r="P62" s="27">
        <v>13.09</v>
      </c>
      <c r="Q62" s="27">
        <v>12.38</v>
      </c>
      <c r="R62" s="27">
        <v>13.3</v>
      </c>
      <c r="S62" s="27">
        <v>18.4</v>
      </c>
      <c r="T62" s="27">
        <v>9.12</v>
      </c>
      <c r="U62" s="27">
        <v>8.78</v>
      </c>
      <c r="V62" s="27">
        <v>9.64</v>
      </c>
      <c r="W62" s="27">
        <v>9.25</v>
      </c>
      <c r="X62" s="81">
        <v>14.86</v>
      </c>
      <c r="Y62" s="27">
        <v>14.57</v>
      </c>
      <c r="Z62" s="27">
        <v>16.84</v>
      </c>
      <c r="AA62" s="27">
        <v>7.44</v>
      </c>
      <c r="AB62" s="27">
        <v>7.55</v>
      </c>
      <c r="AC62" s="27">
        <v>7.47</v>
      </c>
      <c r="AD62" s="27">
        <v>7.8</v>
      </c>
      <c r="AE62" s="27">
        <v>6.78</v>
      </c>
      <c r="AF62" s="27">
        <v>6.64</v>
      </c>
      <c r="AG62" s="27">
        <v>5.27</v>
      </c>
      <c r="AH62" s="27" t="s">
        <v>109</v>
      </c>
    </row>
    <row r="63">
      <c r="B63" s="27" t="s">
        <v>110</v>
      </c>
      <c r="C63" s="27">
        <v>3.01</v>
      </c>
      <c r="D63" s="27">
        <v>3.22</v>
      </c>
      <c r="E63" s="27">
        <v>2.78</v>
      </c>
      <c r="F63" s="27">
        <v>4.22</v>
      </c>
      <c r="G63" s="27">
        <v>3.59</v>
      </c>
      <c r="H63" s="27">
        <v>4.08</v>
      </c>
      <c r="I63" s="27">
        <v>4.38</v>
      </c>
      <c r="J63" s="27">
        <v>3.59</v>
      </c>
      <c r="K63" s="27">
        <v>3.78</v>
      </c>
      <c r="L63" s="27">
        <v>3.65</v>
      </c>
      <c r="M63" s="27">
        <v>4.29</v>
      </c>
      <c r="N63" s="27">
        <v>5.18</v>
      </c>
      <c r="O63" s="27">
        <v>6.0</v>
      </c>
      <c r="P63" s="27">
        <v>4.56</v>
      </c>
      <c r="Q63" s="27">
        <v>5.25</v>
      </c>
      <c r="R63" s="27">
        <v>5.59</v>
      </c>
      <c r="S63" s="27">
        <v>5.61</v>
      </c>
      <c r="T63" s="27">
        <v>2.63</v>
      </c>
      <c r="U63" s="27">
        <v>2.89</v>
      </c>
      <c r="V63" s="27">
        <v>3.0</v>
      </c>
      <c r="W63" s="27">
        <v>3.13</v>
      </c>
      <c r="X63" s="81">
        <v>3.66</v>
      </c>
      <c r="Y63" s="27">
        <v>3.33</v>
      </c>
      <c r="Z63" s="27">
        <v>3.84</v>
      </c>
      <c r="AA63" s="27">
        <v>1.69</v>
      </c>
      <c r="AB63" s="27">
        <v>1.43</v>
      </c>
      <c r="AC63" s="27">
        <v>1.43</v>
      </c>
      <c r="AD63" s="27">
        <v>1.25</v>
      </c>
      <c r="AE63" s="27">
        <v>1.24</v>
      </c>
      <c r="AF63" s="27">
        <v>2.24</v>
      </c>
      <c r="AG63" s="27">
        <v>1.8</v>
      </c>
      <c r="AH63" s="27" t="s">
        <v>110</v>
      </c>
    </row>
    <row r="64">
      <c r="B64" s="27" t="s">
        <v>111</v>
      </c>
      <c r="C64" s="27">
        <v>3.28</v>
      </c>
      <c r="D64" s="27">
        <v>3.02</v>
      </c>
      <c r="E64" s="27">
        <v>2.86</v>
      </c>
      <c r="F64" s="27">
        <v>3.3</v>
      </c>
      <c r="G64" s="27">
        <v>3.17</v>
      </c>
      <c r="H64" s="27">
        <v>3.21</v>
      </c>
      <c r="I64" s="27">
        <v>3.43</v>
      </c>
      <c r="J64" s="27">
        <v>3.22</v>
      </c>
      <c r="K64" s="27">
        <v>3.51</v>
      </c>
      <c r="L64" s="27">
        <v>3.36</v>
      </c>
      <c r="M64" s="27">
        <v>3.99</v>
      </c>
      <c r="N64" s="27">
        <v>3.98</v>
      </c>
      <c r="O64" s="27">
        <v>4.84</v>
      </c>
      <c r="P64" s="27">
        <v>4.13</v>
      </c>
      <c r="Q64" s="27">
        <v>4.89</v>
      </c>
      <c r="R64" s="27">
        <v>4.64</v>
      </c>
      <c r="S64" s="27">
        <v>5.38</v>
      </c>
      <c r="T64" s="27">
        <v>2.58</v>
      </c>
      <c r="U64" s="27">
        <v>2.79</v>
      </c>
      <c r="V64" s="27">
        <v>2.91</v>
      </c>
      <c r="W64" s="27">
        <v>3.16</v>
      </c>
      <c r="X64" s="81">
        <v>2.58</v>
      </c>
      <c r="Y64" s="27">
        <v>2.44</v>
      </c>
      <c r="Z64" s="27">
        <v>3.81</v>
      </c>
      <c r="AA64" s="27">
        <v>2.06</v>
      </c>
      <c r="AB64" s="27">
        <v>2.11</v>
      </c>
      <c r="AC64" s="27">
        <v>1.97</v>
      </c>
      <c r="AD64" s="27">
        <v>2.56</v>
      </c>
      <c r="AE64" s="27">
        <v>2.16</v>
      </c>
      <c r="AF64" s="27">
        <v>2.08</v>
      </c>
      <c r="AG64" s="27">
        <v>2.54</v>
      </c>
      <c r="AH64" s="27" t="s">
        <v>111</v>
      </c>
    </row>
    <row r="65">
      <c r="B65" s="27" t="s">
        <v>112</v>
      </c>
      <c r="C65" s="27">
        <v>1.81</v>
      </c>
      <c r="D65" s="27">
        <v>2.0</v>
      </c>
      <c r="E65" s="27">
        <v>1.5</v>
      </c>
      <c r="F65" s="27">
        <v>3.24</v>
      </c>
      <c r="G65" s="27">
        <v>2.97</v>
      </c>
      <c r="H65" s="27">
        <v>2.92</v>
      </c>
      <c r="I65" s="27">
        <v>2.88</v>
      </c>
      <c r="J65" s="27">
        <v>3.26</v>
      </c>
      <c r="K65" s="27">
        <v>1.86</v>
      </c>
      <c r="L65" s="27">
        <v>2.48</v>
      </c>
      <c r="M65" s="27">
        <v>2.43</v>
      </c>
      <c r="N65" s="27">
        <v>2.6</v>
      </c>
      <c r="O65" s="27">
        <v>2.97</v>
      </c>
      <c r="P65" s="27">
        <v>2.98</v>
      </c>
      <c r="Q65" s="27">
        <v>2.23</v>
      </c>
      <c r="R65" s="27">
        <v>3.07</v>
      </c>
      <c r="S65" s="27">
        <v>3.59</v>
      </c>
      <c r="T65" s="27">
        <v>1.58</v>
      </c>
      <c r="U65" s="27">
        <v>2.23</v>
      </c>
      <c r="V65" s="27">
        <v>1.85</v>
      </c>
      <c r="W65" s="27">
        <v>1.76</v>
      </c>
      <c r="X65" s="81">
        <v>2.18</v>
      </c>
      <c r="Y65" s="27">
        <v>2.01</v>
      </c>
      <c r="Z65" s="27">
        <v>2.86</v>
      </c>
      <c r="AA65" s="27">
        <v>1.02</v>
      </c>
      <c r="AB65" s="27">
        <v>1.04</v>
      </c>
      <c r="AC65" s="27">
        <v>1.0</v>
      </c>
      <c r="AD65" s="27">
        <v>0.93</v>
      </c>
      <c r="AE65" s="27">
        <v>0.95</v>
      </c>
      <c r="AF65" s="27">
        <v>0.84</v>
      </c>
      <c r="AG65" s="27">
        <v>0.79</v>
      </c>
      <c r="AH65" s="27" t="s">
        <v>112</v>
      </c>
    </row>
    <row r="66">
      <c r="B66" s="27" t="s">
        <v>113</v>
      </c>
      <c r="C66" s="27">
        <v>1.99</v>
      </c>
      <c r="D66" s="27">
        <v>2.23</v>
      </c>
      <c r="E66" s="27">
        <v>2.35</v>
      </c>
      <c r="F66" s="27">
        <v>2.53</v>
      </c>
      <c r="G66" s="27">
        <v>2.37</v>
      </c>
      <c r="H66" s="27">
        <v>2.58</v>
      </c>
      <c r="I66" s="27">
        <v>2.21</v>
      </c>
      <c r="J66" s="27">
        <v>2.63</v>
      </c>
      <c r="K66" s="27">
        <v>2.32</v>
      </c>
      <c r="L66" s="27">
        <v>2.36</v>
      </c>
      <c r="M66" s="27">
        <v>2.69</v>
      </c>
      <c r="N66" s="27">
        <v>2.45</v>
      </c>
      <c r="O66" s="27">
        <v>2.44</v>
      </c>
      <c r="P66" s="27">
        <v>2.17</v>
      </c>
      <c r="Q66" s="27">
        <v>1.88</v>
      </c>
      <c r="R66" s="27">
        <v>1.96</v>
      </c>
      <c r="S66" s="27">
        <v>3.0</v>
      </c>
      <c r="T66" s="27">
        <v>1.37</v>
      </c>
      <c r="U66" s="27">
        <v>1.33</v>
      </c>
      <c r="V66" s="27">
        <v>1.26</v>
      </c>
      <c r="W66" s="27">
        <v>1.32</v>
      </c>
      <c r="X66" s="81">
        <v>1.44</v>
      </c>
      <c r="Y66" s="27">
        <v>1.55</v>
      </c>
      <c r="Z66" s="27">
        <v>3.11</v>
      </c>
      <c r="AA66" s="27">
        <v>0.86</v>
      </c>
      <c r="AB66" s="27">
        <v>1.6</v>
      </c>
      <c r="AC66" s="27">
        <v>1.34</v>
      </c>
      <c r="AD66" s="27">
        <v>1.48</v>
      </c>
      <c r="AE66" s="27">
        <v>1.4</v>
      </c>
      <c r="AF66" s="27">
        <v>1.68</v>
      </c>
      <c r="AG66" s="27">
        <v>1.5</v>
      </c>
      <c r="AH66" s="27" t="s">
        <v>113</v>
      </c>
    </row>
    <row r="67">
      <c r="B67" s="27" t="s">
        <v>114</v>
      </c>
      <c r="C67" s="27">
        <v>1.6</v>
      </c>
      <c r="D67" s="27">
        <v>1.89</v>
      </c>
      <c r="E67" s="27">
        <v>1.97</v>
      </c>
      <c r="F67" s="27">
        <v>2.52</v>
      </c>
      <c r="G67" s="27">
        <v>2.38</v>
      </c>
      <c r="H67" s="27">
        <v>2.35</v>
      </c>
      <c r="I67" s="27">
        <v>2.0</v>
      </c>
      <c r="J67" s="27">
        <v>2.56</v>
      </c>
      <c r="K67" s="27">
        <v>2.68</v>
      </c>
      <c r="L67" s="27">
        <v>3.25</v>
      </c>
      <c r="M67" s="27">
        <v>3.15</v>
      </c>
      <c r="N67" s="27">
        <v>4.94</v>
      </c>
      <c r="O67" s="27">
        <v>8.92</v>
      </c>
      <c r="P67" s="27">
        <v>4.4</v>
      </c>
      <c r="Q67" s="27">
        <v>4.66</v>
      </c>
      <c r="R67" s="27">
        <v>3.83</v>
      </c>
      <c r="S67" s="27">
        <v>5.53</v>
      </c>
      <c r="T67" s="27">
        <v>2.5</v>
      </c>
      <c r="U67" s="27">
        <v>2.32</v>
      </c>
      <c r="V67" s="27">
        <v>2.76</v>
      </c>
      <c r="W67" s="27">
        <v>1.95</v>
      </c>
      <c r="X67" s="81">
        <v>3.01</v>
      </c>
      <c r="Y67" s="27">
        <v>2.98</v>
      </c>
      <c r="Z67" s="27">
        <v>4.05</v>
      </c>
      <c r="AA67" s="27">
        <v>2.88</v>
      </c>
      <c r="AB67" s="27">
        <v>2.1</v>
      </c>
      <c r="AC67" s="27">
        <v>1.8</v>
      </c>
      <c r="AD67" s="27">
        <v>1.54</v>
      </c>
      <c r="AE67" s="27">
        <v>1.7</v>
      </c>
      <c r="AF67" s="27">
        <v>1.82</v>
      </c>
      <c r="AG67" s="27">
        <v>1.4</v>
      </c>
      <c r="AH67" s="27" t="s">
        <v>114</v>
      </c>
    </row>
    <row r="68">
      <c r="B68" s="27" t="s">
        <v>115</v>
      </c>
      <c r="C68" s="27">
        <v>4.3</v>
      </c>
      <c r="D68" s="27">
        <v>5.83</v>
      </c>
      <c r="E68" s="27">
        <v>4.55</v>
      </c>
      <c r="F68" s="27">
        <v>4.86</v>
      </c>
      <c r="G68" s="27">
        <v>5.34</v>
      </c>
      <c r="H68" s="27">
        <v>5.84</v>
      </c>
      <c r="I68" s="27">
        <v>5.17</v>
      </c>
      <c r="J68" s="27">
        <v>4.81</v>
      </c>
      <c r="K68" s="27">
        <v>3.72</v>
      </c>
      <c r="L68" s="27">
        <v>2.82</v>
      </c>
      <c r="M68" s="27">
        <v>3.74</v>
      </c>
      <c r="N68" s="27">
        <v>4.7</v>
      </c>
      <c r="O68" s="27">
        <v>5.91</v>
      </c>
      <c r="P68" s="27">
        <v>4.74</v>
      </c>
      <c r="Q68" s="27">
        <v>3.98</v>
      </c>
      <c r="R68" s="27">
        <v>5.07</v>
      </c>
      <c r="S68" s="27">
        <v>6.51</v>
      </c>
      <c r="T68" s="27">
        <v>3.68</v>
      </c>
      <c r="U68" s="27">
        <v>3.06</v>
      </c>
      <c r="V68" s="27">
        <v>3.56</v>
      </c>
      <c r="W68" s="27">
        <v>3.58</v>
      </c>
      <c r="X68" s="81">
        <v>4.13</v>
      </c>
      <c r="Y68" s="27">
        <v>4.93</v>
      </c>
      <c r="Z68" s="27">
        <v>5.89</v>
      </c>
      <c r="AA68" s="27">
        <v>2.36</v>
      </c>
      <c r="AB68" s="27">
        <v>3.38</v>
      </c>
      <c r="AC68" s="27">
        <v>3.11</v>
      </c>
      <c r="AD68" s="27">
        <v>3.19</v>
      </c>
      <c r="AE68" s="27">
        <v>3.27</v>
      </c>
      <c r="AF68" s="27">
        <v>4.14</v>
      </c>
      <c r="AG68" s="27">
        <v>2.7</v>
      </c>
      <c r="AH68" s="27" t="s">
        <v>115</v>
      </c>
    </row>
    <row r="69">
      <c r="B69" s="27" t="s">
        <v>116</v>
      </c>
      <c r="C69" s="27">
        <v>2.46</v>
      </c>
      <c r="D69" s="27">
        <v>2.29</v>
      </c>
      <c r="E69" s="27">
        <v>2.1</v>
      </c>
      <c r="F69" s="27">
        <v>3.28</v>
      </c>
      <c r="G69" s="27">
        <v>3.16</v>
      </c>
      <c r="H69" s="27">
        <v>3.2</v>
      </c>
      <c r="I69" s="27">
        <v>3.35</v>
      </c>
      <c r="J69" s="27">
        <v>2.92</v>
      </c>
      <c r="K69" s="27">
        <v>1.3</v>
      </c>
      <c r="L69" s="27">
        <v>1.6</v>
      </c>
      <c r="M69" s="27">
        <v>1.4</v>
      </c>
      <c r="N69" s="27">
        <v>1.88</v>
      </c>
      <c r="O69" s="27">
        <v>2.07</v>
      </c>
      <c r="P69" s="27">
        <v>1.79</v>
      </c>
      <c r="Q69" s="27">
        <v>1.61</v>
      </c>
      <c r="R69" s="27">
        <v>1.57</v>
      </c>
      <c r="S69" s="27">
        <v>2.01</v>
      </c>
      <c r="T69" s="27">
        <v>1.82</v>
      </c>
      <c r="U69" s="27">
        <v>1.85</v>
      </c>
      <c r="V69" s="27">
        <v>1.77</v>
      </c>
      <c r="W69" s="27">
        <v>1.81</v>
      </c>
      <c r="X69" s="81">
        <v>3.13</v>
      </c>
      <c r="Y69" s="27">
        <v>2.71</v>
      </c>
      <c r="Z69" s="27">
        <v>2.83</v>
      </c>
      <c r="AA69" s="27">
        <v>2.06</v>
      </c>
      <c r="AB69" s="27">
        <v>1.87</v>
      </c>
      <c r="AC69" s="27">
        <v>1.9</v>
      </c>
      <c r="AD69" s="27">
        <v>1.79</v>
      </c>
      <c r="AE69" s="27">
        <v>1.89</v>
      </c>
      <c r="AF69" s="27">
        <v>1.98</v>
      </c>
      <c r="AG69" s="27">
        <v>2.03</v>
      </c>
      <c r="AH69" s="27" t="s">
        <v>116</v>
      </c>
    </row>
    <row r="70">
      <c r="B70" s="27" t="s">
        <v>117</v>
      </c>
      <c r="C70" s="27">
        <v>1.53</v>
      </c>
      <c r="D70" s="27">
        <v>1.23</v>
      </c>
      <c r="E70" s="27">
        <v>1.43</v>
      </c>
      <c r="F70" s="27">
        <v>2.84</v>
      </c>
      <c r="G70" s="27">
        <v>2.45</v>
      </c>
      <c r="H70" s="27">
        <v>2.63</v>
      </c>
      <c r="I70" s="27">
        <v>2.05</v>
      </c>
      <c r="J70" s="27">
        <v>2.27</v>
      </c>
      <c r="K70" s="27">
        <v>1.35</v>
      </c>
      <c r="L70" s="27">
        <v>2.0</v>
      </c>
      <c r="M70" s="27">
        <v>2.83</v>
      </c>
      <c r="N70" s="27">
        <v>2.64</v>
      </c>
      <c r="O70" s="27">
        <v>2.99</v>
      </c>
      <c r="P70" s="27">
        <v>2.49</v>
      </c>
      <c r="Q70" s="27">
        <v>3.29</v>
      </c>
      <c r="R70" s="27">
        <v>2.91</v>
      </c>
      <c r="S70" s="27">
        <v>3.24</v>
      </c>
      <c r="T70" s="27">
        <v>1.79</v>
      </c>
      <c r="U70" s="27">
        <v>1.59</v>
      </c>
      <c r="V70" s="27">
        <v>1.58</v>
      </c>
      <c r="W70" s="27">
        <v>1.59</v>
      </c>
      <c r="X70" s="81">
        <v>1.59</v>
      </c>
      <c r="Y70" s="27">
        <v>2.0</v>
      </c>
      <c r="Z70" s="27">
        <v>3.11</v>
      </c>
      <c r="AA70" s="27">
        <v>0.81</v>
      </c>
      <c r="AB70" s="27">
        <v>1.06</v>
      </c>
      <c r="AC70" s="27">
        <v>1.03</v>
      </c>
      <c r="AD70" s="27">
        <v>1.01</v>
      </c>
      <c r="AE70" s="27">
        <v>1.1</v>
      </c>
      <c r="AF70" s="27">
        <v>0.7</v>
      </c>
      <c r="AG70" s="27">
        <v>0.77</v>
      </c>
      <c r="AH70" s="27" t="s">
        <v>117</v>
      </c>
    </row>
    <row r="71">
      <c r="B71" s="27" t="s">
        <v>118</v>
      </c>
      <c r="C71" s="27">
        <v>14.08</v>
      </c>
      <c r="D71" s="27">
        <v>14.85</v>
      </c>
      <c r="E71" s="27">
        <v>16.43</v>
      </c>
      <c r="F71" s="27">
        <v>15.91</v>
      </c>
      <c r="G71" s="27">
        <v>15.45</v>
      </c>
      <c r="H71" s="27">
        <v>14.32</v>
      </c>
      <c r="I71" s="27">
        <v>14.58</v>
      </c>
      <c r="J71" s="27">
        <v>16.87</v>
      </c>
      <c r="K71" s="27">
        <v>16.12</v>
      </c>
      <c r="L71" s="27">
        <v>15.24</v>
      </c>
      <c r="M71" s="27">
        <v>16.27</v>
      </c>
      <c r="N71" s="27">
        <v>18.21</v>
      </c>
      <c r="O71" s="27">
        <v>18.73</v>
      </c>
      <c r="P71" s="27">
        <v>20.22</v>
      </c>
      <c r="Q71" s="27">
        <v>18.14</v>
      </c>
      <c r="R71" s="27">
        <v>16.03</v>
      </c>
      <c r="S71" s="27">
        <v>22.53</v>
      </c>
      <c r="T71" s="27">
        <v>15.55</v>
      </c>
      <c r="U71" s="27">
        <v>13.26</v>
      </c>
      <c r="V71" s="27">
        <v>14.08</v>
      </c>
      <c r="W71" s="27">
        <v>15.76</v>
      </c>
      <c r="X71" s="81">
        <v>23.07</v>
      </c>
      <c r="Y71" s="27">
        <v>18.71</v>
      </c>
      <c r="Z71" s="27">
        <v>35.32</v>
      </c>
      <c r="AA71" s="27">
        <v>15.18</v>
      </c>
      <c r="AB71" s="27">
        <v>15.56</v>
      </c>
      <c r="AC71" s="27">
        <v>12.44</v>
      </c>
      <c r="AD71" s="27">
        <v>12.59</v>
      </c>
      <c r="AE71" s="27">
        <v>13.26</v>
      </c>
      <c r="AF71" s="27">
        <v>15.2</v>
      </c>
      <c r="AG71" s="27">
        <v>10.44</v>
      </c>
      <c r="AH71" s="27" t="s">
        <v>118</v>
      </c>
    </row>
    <row r="72">
      <c r="B72" s="82" t="s">
        <v>119</v>
      </c>
      <c r="C72" s="83">
        <f t="shared" ref="C72:AG72" si="2">SUM(C74 + C75 * 5 * 10)</f>
        <v>249.22</v>
      </c>
      <c r="D72" s="83">
        <f t="shared" si="2"/>
        <v>221.32</v>
      </c>
      <c r="E72" s="83">
        <f t="shared" si="2"/>
        <v>220</v>
      </c>
      <c r="F72" s="83">
        <f t="shared" si="2"/>
        <v>328.59</v>
      </c>
      <c r="G72" s="83">
        <f t="shared" si="2"/>
        <v>339.15</v>
      </c>
      <c r="H72" s="83">
        <f t="shared" si="2"/>
        <v>166.76</v>
      </c>
      <c r="I72" s="83">
        <f t="shared" si="2"/>
        <v>292.03</v>
      </c>
      <c r="J72" s="83">
        <f t="shared" si="2"/>
        <v>267.87</v>
      </c>
      <c r="K72" s="83">
        <f t="shared" si="2"/>
        <v>269.6</v>
      </c>
      <c r="L72" s="83">
        <f t="shared" si="2"/>
        <v>249.93</v>
      </c>
      <c r="M72" s="83">
        <f t="shared" si="2"/>
        <v>237.74</v>
      </c>
      <c r="N72" s="83">
        <f t="shared" si="2"/>
        <v>237.5</v>
      </c>
      <c r="O72" s="83">
        <f t="shared" si="2"/>
        <v>242.5</v>
      </c>
      <c r="P72" s="83">
        <f t="shared" si="2"/>
        <v>222</v>
      </c>
      <c r="Q72" s="83">
        <f t="shared" si="2"/>
        <v>276</v>
      </c>
      <c r="R72" s="83">
        <f t="shared" si="2"/>
        <v>178.75</v>
      </c>
      <c r="S72" s="83">
        <f t="shared" si="2"/>
        <v>238</v>
      </c>
      <c r="T72" s="83">
        <f t="shared" si="2"/>
        <v>322.5</v>
      </c>
      <c r="U72" s="83">
        <f t="shared" si="2"/>
        <v>365.35</v>
      </c>
      <c r="V72" s="83">
        <f t="shared" si="2"/>
        <v>358</v>
      </c>
      <c r="W72" s="83">
        <f t="shared" si="2"/>
        <v>294.5</v>
      </c>
      <c r="X72" s="83">
        <f t="shared" si="2"/>
        <v>380.07</v>
      </c>
      <c r="Y72" s="83">
        <f t="shared" si="2"/>
        <v>361.21</v>
      </c>
      <c r="Z72" s="83">
        <f t="shared" si="2"/>
        <v>705.87</v>
      </c>
      <c r="AA72" s="83">
        <f t="shared" si="2"/>
        <v>196.5</v>
      </c>
      <c r="AB72" s="83">
        <f t="shared" si="2"/>
        <v>170.14</v>
      </c>
      <c r="AC72" s="83">
        <f t="shared" si="2"/>
        <v>164.49</v>
      </c>
      <c r="AD72" s="83">
        <f t="shared" si="2"/>
        <v>137.92</v>
      </c>
      <c r="AE72" s="83">
        <f t="shared" si="2"/>
        <v>144.64</v>
      </c>
      <c r="AF72" s="83">
        <f t="shared" si="2"/>
        <v>181.11</v>
      </c>
      <c r="AG72" s="83">
        <f t="shared" si="2"/>
        <v>108.49</v>
      </c>
      <c r="AH72" s="84" t="s">
        <v>119</v>
      </c>
    </row>
    <row r="73">
      <c r="B73" s="27" t="s">
        <v>120</v>
      </c>
      <c r="C73" s="27">
        <v>2.69</v>
      </c>
      <c r="D73" s="85">
        <v>2.98</v>
      </c>
      <c r="E73" s="27">
        <v>2.45</v>
      </c>
      <c r="F73" s="85">
        <v>3.99</v>
      </c>
      <c r="G73" s="85">
        <v>4.06</v>
      </c>
      <c r="H73" s="85">
        <v>0.36</v>
      </c>
      <c r="I73" s="85">
        <v>2.9</v>
      </c>
      <c r="J73" s="85">
        <v>3.3</v>
      </c>
      <c r="K73" s="85">
        <v>2.45</v>
      </c>
      <c r="L73" s="85">
        <v>2.74</v>
      </c>
      <c r="M73" s="85">
        <v>2.94</v>
      </c>
      <c r="N73" s="85">
        <v>2.5</v>
      </c>
      <c r="O73" s="85">
        <v>2.9</v>
      </c>
      <c r="P73" s="85">
        <v>2.5</v>
      </c>
      <c r="Q73" s="85">
        <v>3.0</v>
      </c>
      <c r="R73" s="85">
        <v>1.75</v>
      </c>
      <c r="S73" s="85">
        <v>3.0</v>
      </c>
      <c r="T73" s="27">
        <v>3.15</v>
      </c>
      <c r="U73" s="85">
        <v>2.73</v>
      </c>
      <c r="V73" s="27">
        <v>2.85</v>
      </c>
      <c r="W73" s="27">
        <v>2.55</v>
      </c>
      <c r="X73" s="85">
        <v>4.01</v>
      </c>
      <c r="Y73" s="85">
        <v>4.72</v>
      </c>
      <c r="Z73" s="85">
        <v>4.78</v>
      </c>
      <c r="AA73" s="85">
        <v>1.2</v>
      </c>
      <c r="AB73" s="85">
        <v>1.23</v>
      </c>
      <c r="AC73" s="85">
        <v>1.67</v>
      </c>
      <c r="AD73" s="85">
        <v>1.23</v>
      </c>
      <c r="AE73" s="85">
        <v>1.34</v>
      </c>
      <c r="AF73" s="85">
        <v>1.08</v>
      </c>
      <c r="AG73" s="85">
        <v>0.35</v>
      </c>
      <c r="AH73" s="27" t="s">
        <v>120</v>
      </c>
    </row>
    <row r="74">
      <c r="B74" s="27" t="s">
        <v>121</v>
      </c>
      <c r="C74" s="27">
        <v>129.72</v>
      </c>
      <c r="D74" s="85">
        <v>107.82</v>
      </c>
      <c r="E74" s="27">
        <v>105.0</v>
      </c>
      <c r="F74" s="85">
        <v>143.59</v>
      </c>
      <c r="G74" s="85">
        <v>157.65</v>
      </c>
      <c r="H74" s="85">
        <v>21.76</v>
      </c>
      <c r="I74" s="85">
        <v>101.53</v>
      </c>
      <c r="J74" s="85">
        <v>86.37</v>
      </c>
      <c r="K74" s="85">
        <v>114.1</v>
      </c>
      <c r="L74" s="85">
        <v>76.43</v>
      </c>
      <c r="M74" s="85">
        <v>98.74</v>
      </c>
      <c r="N74" s="85">
        <v>75.0</v>
      </c>
      <c r="O74" s="85">
        <v>100.0</v>
      </c>
      <c r="P74" s="85">
        <v>72.0</v>
      </c>
      <c r="Q74" s="85">
        <v>126.0</v>
      </c>
      <c r="R74" s="85">
        <v>41.25</v>
      </c>
      <c r="S74" s="85">
        <v>108.0</v>
      </c>
      <c r="T74" s="27">
        <v>100.0</v>
      </c>
      <c r="U74" s="85">
        <v>106.35</v>
      </c>
      <c r="V74" s="27">
        <v>103.0</v>
      </c>
      <c r="W74" s="27">
        <v>102.0</v>
      </c>
      <c r="X74" s="85">
        <v>135.57</v>
      </c>
      <c r="Y74" s="85">
        <v>116.71</v>
      </c>
      <c r="Z74" s="85">
        <v>86.87</v>
      </c>
      <c r="AA74" s="85">
        <v>35.5</v>
      </c>
      <c r="AB74" s="85">
        <v>30.64</v>
      </c>
      <c r="AC74" s="85">
        <v>38.99</v>
      </c>
      <c r="AD74" s="85">
        <v>52.92</v>
      </c>
      <c r="AE74" s="85">
        <v>33.14</v>
      </c>
      <c r="AF74" s="85">
        <v>46.61</v>
      </c>
      <c r="AG74" s="85">
        <v>19.99</v>
      </c>
      <c r="AH74" s="27" t="s">
        <v>121</v>
      </c>
      <c r="AI74" s="86"/>
      <c r="AJ74" s="86"/>
      <c r="AK74" s="86"/>
      <c r="AL74" s="86"/>
      <c r="AM74" s="86"/>
      <c r="AN74" s="86"/>
    </row>
    <row r="75">
      <c r="B75" s="27" t="s">
        <v>122</v>
      </c>
      <c r="C75" s="27">
        <v>2.39</v>
      </c>
      <c r="D75" s="85">
        <v>2.27</v>
      </c>
      <c r="E75" s="27">
        <v>2.3</v>
      </c>
      <c r="F75" s="85">
        <v>3.7</v>
      </c>
      <c r="G75" s="85">
        <v>3.63</v>
      </c>
      <c r="H75" s="85">
        <v>2.9</v>
      </c>
      <c r="I75" s="85">
        <v>3.81</v>
      </c>
      <c r="J75" s="85">
        <v>3.63</v>
      </c>
      <c r="K75" s="85">
        <v>3.11</v>
      </c>
      <c r="L75" s="85">
        <v>3.47</v>
      </c>
      <c r="M75" s="85">
        <v>2.78</v>
      </c>
      <c r="N75" s="85">
        <v>3.25</v>
      </c>
      <c r="O75" s="85">
        <v>2.85</v>
      </c>
      <c r="P75" s="85">
        <v>3.0</v>
      </c>
      <c r="Q75" s="85">
        <v>3.0</v>
      </c>
      <c r="R75" s="85">
        <v>2.75</v>
      </c>
      <c r="S75" s="85">
        <v>2.6</v>
      </c>
      <c r="T75" s="27">
        <v>4.45</v>
      </c>
      <c r="U75" s="85">
        <v>5.18</v>
      </c>
      <c r="V75" s="27">
        <v>5.1</v>
      </c>
      <c r="W75" s="27">
        <v>3.85</v>
      </c>
      <c r="X75" s="85">
        <v>4.89</v>
      </c>
      <c r="Y75" s="85">
        <v>4.89</v>
      </c>
      <c r="Z75" s="85">
        <v>12.38</v>
      </c>
      <c r="AA75" s="85">
        <v>3.22</v>
      </c>
      <c r="AB75" s="85">
        <v>2.79</v>
      </c>
      <c r="AC75" s="85">
        <v>2.51</v>
      </c>
      <c r="AD75" s="85">
        <v>1.7</v>
      </c>
      <c r="AE75" s="85">
        <v>2.23</v>
      </c>
      <c r="AF75" s="85">
        <v>2.69</v>
      </c>
      <c r="AG75" s="85">
        <v>1.77</v>
      </c>
      <c r="AH75" s="27" t="s">
        <v>122</v>
      </c>
      <c r="AI75" s="86"/>
      <c r="AJ75" s="87"/>
    </row>
    <row r="76">
      <c r="B76" s="27" t="s">
        <v>123</v>
      </c>
      <c r="C76" s="27">
        <v>2.09</v>
      </c>
      <c r="D76" s="85">
        <v>1.91</v>
      </c>
      <c r="E76" s="27">
        <v>2.1</v>
      </c>
      <c r="F76" s="85">
        <v>1.45</v>
      </c>
      <c r="G76" s="85">
        <v>1.81</v>
      </c>
      <c r="H76" s="85">
        <v>1.9</v>
      </c>
      <c r="I76" s="85">
        <v>1.81</v>
      </c>
      <c r="J76" s="85">
        <v>2.03</v>
      </c>
      <c r="K76" s="85">
        <v>1.28</v>
      </c>
      <c r="L76" s="85">
        <v>1.5</v>
      </c>
      <c r="M76" s="85">
        <v>1.54</v>
      </c>
      <c r="N76" s="85">
        <v>1.4</v>
      </c>
      <c r="O76" s="85">
        <v>1.56</v>
      </c>
      <c r="P76" s="85">
        <v>2.06</v>
      </c>
      <c r="Q76" s="85">
        <v>1.75</v>
      </c>
      <c r="R76" s="85">
        <v>1.62</v>
      </c>
      <c r="S76" s="85">
        <v>1.68</v>
      </c>
      <c r="T76" s="27">
        <v>2.4</v>
      </c>
      <c r="U76" s="85">
        <v>2.73</v>
      </c>
      <c r="V76" s="27">
        <v>1.8</v>
      </c>
      <c r="W76" s="85">
        <v>1.95</v>
      </c>
      <c r="X76" s="85">
        <v>3.54</v>
      </c>
      <c r="Y76" s="85">
        <v>3.51</v>
      </c>
      <c r="Z76" s="85">
        <v>1.9</v>
      </c>
      <c r="AA76" s="85">
        <v>1.06</v>
      </c>
      <c r="AB76" s="85">
        <v>1.39</v>
      </c>
      <c r="AC76" s="85">
        <v>1.11</v>
      </c>
      <c r="AD76" s="85">
        <v>0.61</v>
      </c>
      <c r="AE76" s="85">
        <v>1.09</v>
      </c>
      <c r="AF76" s="85">
        <v>0.67</v>
      </c>
      <c r="AG76" s="85">
        <v>0.53</v>
      </c>
      <c r="AH76" s="27" t="s">
        <v>123</v>
      </c>
    </row>
    <row r="77">
      <c r="B77" s="27" t="s">
        <v>124</v>
      </c>
      <c r="C77" s="27">
        <v>1.82</v>
      </c>
      <c r="D77" s="85">
        <v>1.8</v>
      </c>
      <c r="E77" s="27">
        <v>1.74</v>
      </c>
      <c r="F77" s="85">
        <v>1.41</v>
      </c>
      <c r="G77" s="85">
        <v>1.4</v>
      </c>
      <c r="H77" s="85">
        <v>1.42</v>
      </c>
      <c r="I77" s="85">
        <v>1.32</v>
      </c>
      <c r="J77" s="85">
        <v>1.34</v>
      </c>
      <c r="K77" s="85">
        <v>1.05</v>
      </c>
      <c r="L77" s="85">
        <v>1.24</v>
      </c>
      <c r="M77" s="85">
        <v>1.07</v>
      </c>
      <c r="N77" s="85">
        <v>1.06</v>
      </c>
      <c r="O77" s="85">
        <v>0.89</v>
      </c>
      <c r="P77" s="85">
        <v>1.38</v>
      </c>
      <c r="Q77" s="85">
        <v>0.79</v>
      </c>
      <c r="R77" s="85">
        <v>0.81</v>
      </c>
      <c r="S77" s="85">
        <v>1.27</v>
      </c>
      <c r="T77" s="27">
        <v>1.84</v>
      </c>
      <c r="U77" s="85">
        <v>1.92</v>
      </c>
      <c r="V77" s="85">
        <v>1.84</v>
      </c>
      <c r="W77" s="85">
        <v>1.84</v>
      </c>
      <c r="X77" s="85">
        <v>2.44</v>
      </c>
      <c r="Y77" s="85">
        <v>2.41</v>
      </c>
      <c r="Z77" s="85">
        <v>2.36</v>
      </c>
      <c r="AA77" s="85">
        <v>1.9</v>
      </c>
      <c r="AB77" s="85">
        <v>1.72</v>
      </c>
      <c r="AC77" s="85">
        <v>1.66</v>
      </c>
      <c r="AD77" s="85">
        <v>1.68</v>
      </c>
      <c r="AE77" s="85">
        <v>1.67</v>
      </c>
      <c r="AF77" s="85">
        <v>0.92</v>
      </c>
      <c r="AG77" s="85">
        <v>0.96</v>
      </c>
      <c r="AH77" s="27" t="s">
        <v>124</v>
      </c>
    </row>
    <row r="78">
      <c r="B78" s="27" t="s">
        <v>125</v>
      </c>
      <c r="C78" s="27">
        <v>26800.0</v>
      </c>
      <c r="D78" s="88">
        <v>26800.0</v>
      </c>
      <c r="E78" s="79">
        <v>28500.0</v>
      </c>
      <c r="F78" s="88">
        <v>29300.0</v>
      </c>
      <c r="G78" s="88">
        <v>28500.0</v>
      </c>
      <c r="H78" s="88">
        <v>29000.0</v>
      </c>
      <c r="I78" s="88">
        <v>28700.0</v>
      </c>
      <c r="J78" s="88">
        <v>28000.0</v>
      </c>
      <c r="K78" s="88">
        <v>27900.0</v>
      </c>
      <c r="L78" s="88">
        <v>29000.0</v>
      </c>
      <c r="M78" s="88">
        <v>28900.0</v>
      </c>
      <c r="N78" s="88">
        <v>36500.0</v>
      </c>
      <c r="O78" s="88">
        <v>36400.0</v>
      </c>
      <c r="P78" s="88">
        <v>37000.0</v>
      </c>
      <c r="Q78" s="88">
        <v>36000.0</v>
      </c>
      <c r="R78" s="88">
        <v>35600.0</v>
      </c>
      <c r="S78" s="88">
        <v>36300.0</v>
      </c>
      <c r="T78" s="79">
        <v>36800.0</v>
      </c>
      <c r="U78" s="88">
        <v>39400.0</v>
      </c>
      <c r="V78" s="89">
        <v>36500.0</v>
      </c>
      <c r="W78" s="88">
        <v>36800.0</v>
      </c>
      <c r="X78" s="88">
        <v>43600.0</v>
      </c>
      <c r="Y78" s="88">
        <v>43600.0</v>
      </c>
      <c r="Z78" s="88">
        <v>49900.0</v>
      </c>
      <c r="AA78" s="88">
        <v>32100.0</v>
      </c>
      <c r="AB78" s="88">
        <v>33300.0</v>
      </c>
      <c r="AC78" s="88">
        <v>33400.0</v>
      </c>
      <c r="AD78" s="88">
        <v>33300.0</v>
      </c>
      <c r="AE78" s="88">
        <v>33300.0</v>
      </c>
      <c r="AF78" s="88">
        <v>40400.0</v>
      </c>
      <c r="AG78" s="88">
        <v>28300.0</v>
      </c>
      <c r="AH78" s="27" t="s">
        <v>125</v>
      </c>
      <c r="AI78" s="86"/>
      <c r="AJ78" s="90"/>
      <c r="AK78" s="86"/>
      <c r="AL78" s="86"/>
      <c r="AM78" s="87"/>
      <c r="AN78" s="86"/>
    </row>
    <row r="79">
      <c r="B79" s="27" t="s">
        <v>126</v>
      </c>
      <c r="C79" s="27">
        <v>23900.0</v>
      </c>
      <c r="D79" s="88">
        <v>26700.0</v>
      </c>
      <c r="E79" s="79">
        <v>26800.0</v>
      </c>
      <c r="F79" s="88">
        <v>26500.0</v>
      </c>
      <c r="G79" s="88">
        <v>28100.0</v>
      </c>
      <c r="H79" s="88">
        <v>28100.0</v>
      </c>
      <c r="I79" s="88">
        <v>29000.0</v>
      </c>
      <c r="J79" s="88">
        <v>28300.0</v>
      </c>
      <c r="K79" s="88">
        <v>21000.0</v>
      </c>
      <c r="L79" s="88">
        <v>21100.0</v>
      </c>
      <c r="M79" s="88">
        <v>21900.0</v>
      </c>
      <c r="N79" s="88">
        <v>26000.0</v>
      </c>
      <c r="O79" s="88">
        <v>25700.04</v>
      </c>
      <c r="P79" s="88">
        <v>26000.0</v>
      </c>
      <c r="Q79" s="88">
        <v>28700.0</v>
      </c>
      <c r="R79" s="88">
        <v>26900.0</v>
      </c>
      <c r="S79" s="88">
        <v>25500.0</v>
      </c>
      <c r="T79" s="79">
        <v>32500.0</v>
      </c>
      <c r="U79" s="88">
        <v>41700.0</v>
      </c>
      <c r="V79" s="88">
        <v>32200.0</v>
      </c>
      <c r="W79" s="88">
        <v>32500.0</v>
      </c>
      <c r="X79" s="88">
        <v>40400.0</v>
      </c>
      <c r="Y79" s="88">
        <v>41200.0</v>
      </c>
      <c r="Z79" s="88">
        <v>45800.0</v>
      </c>
      <c r="AA79" s="88">
        <v>26100.0</v>
      </c>
      <c r="AB79" s="88">
        <v>32800.0</v>
      </c>
      <c r="AC79" s="88">
        <v>31000.0</v>
      </c>
      <c r="AD79" s="88">
        <v>29300.0</v>
      </c>
      <c r="AE79" s="88">
        <v>30200.0</v>
      </c>
      <c r="AF79" s="88">
        <v>40800.0</v>
      </c>
      <c r="AG79" s="88">
        <v>25500.0</v>
      </c>
      <c r="AH79" s="27" t="s">
        <v>126</v>
      </c>
      <c r="AI79" s="86"/>
      <c r="AJ79" s="86"/>
    </row>
    <row r="80">
      <c r="B80" s="82" t="s">
        <v>127</v>
      </c>
      <c r="C80" s="83">
        <f t="shared" ref="C80:AG80" si="3">SUM(C81 * 4 + C83 * 4 + C85 * 20)</f>
        <v>172.12</v>
      </c>
      <c r="D80" s="83">
        <f t="shared" si="3"/>
        <v>172.6</v>
      </c>
      <c r="E80" s="83">
        <f t="shared" si="3"/>
        <v>165.8</v>
      </c>
      <c r="F80" s="83">
        <f t="shared" si="3"/>
        <v>199.52</v>
      </c>
      <c r="G80" s="83">
        <f t="shared" si="3"/>
        <v>211.16</v>
      </c>
      <c r="H80" s="83">
        <f t="shared" si="3"/>
        <v>208.96</v>
      </c>
      <c r="I80" s="83">
        <f t="shared" si="3"/>
        <v>201.08</v>
      </c>
      <c r="J80" s="83">
        <f t="shared" si="3"/>
        <v>202.68</v>
      </c>
      <c r="K80" s="83">
        <f t="shared" si="3"/>
        <v>202.12</v>
      </c>
      <c r="L80" s="83">
        <f t="shared" si="3"/>
        <v>197.24</v>
      </c>
      <c r="M80" s="83">
        <f t="shared" si="3"/>
        <v>200.6</v>
      </c>
      <c r="N80" s="83">
        <f t="shared" si="3"/>
        <v>241.8</v>
      </c>
      <c r="O80" s="83">
        <f t="shared" si="3"/>
        <v>239.72</v>
      </c>
      <c r="P80" s="83">
        <f t="shared" si="3"/>
        <v>274.2</v>
      </c>
      <c r="Q80" s="83">
        <f t="shared" si="3"/>
        <v>240.8</v>
      </c>
      <c r="R80" s="83">
        <f t="shared" si="3"/>
        <v>235.4</v>
      </c>
      <c r="S80" s="83">
        <f t="shared" si="3"/>
        <v>266.2</v>
      </c>
      <c r="T80" s="83">
        <f t="shared" si="3"/>
        <v>229.28</v>
      </c>
      <c r="U80" s="83">
        <f t="shared" si="3"/>
        <v>225.56</v>
      </c>
      <c r="V80" s="83">
        <f t="shared" si="3"/>
        <v>257.4</v>
      </c>
      <c r="W80" s="83">
        <f t="shared" si="3"/>
        <v>223</v>
      </c>
      <c r="X80" s="83">
        <f t="shared" si="3"/>
        <v>255.28</v>
      </c>
      <c r="Y80" s="83">
        <f t="shared" si="3"/>
        <v>240.64</v>
      </c>
      <c r="Z80" s="83">
        <f t="shared" si="3"/>
        <v>291.2</v>
      </c>
      <c r="AA80" s="83">
        <f t="shared" si="3"/>
        <v>166.36</v>
      </c>
      <c r="AB80" s="83">
        <f t="shared" si="3"/>
        <v>180.36</v>
      </c>
      <c r="AC80" s="83">
        <f t="shared" si="3"/>
        <v>177.96</v>
      </c>
      <c r="AD80" s="83">
        <f t="shared" si="3"/>
        <v>165.16</v>
      </c>
      <c r="AE80" s="83">
        <f t="shared" si="3"/>
        <v>176.84</v>
      </c>
      <c r="AF80" s="83">
        <f t="shared" si="3"/>
        <v>177.56</v>
      </c>
      <c r="AG80" s="83">
        <f t="shared" si="3"/>
        <v>118.32</v>
      </c>
      <c r="AH80" s="84" t="s">
        <v>127</v>
      </c>
      <c r="AI80" s="86"/>
      <c r="AJ80" s="86"/>
    </row>
    <row r="81">
      <c r="B81" s="27" t="s">
        <v>128</v>
      </c>
      <c r="C81" s="85">
        <v>14.91</v>
      </c>
      <c r="D81" s="85">
        <v>14.91</v>
      </c>
      <c r="E81" s="85">
        <v>14.91</v>
      </c>
      <c r="F81" s="85">
        <v>18.13</v>
      </c>
      <c r="G81" s="85">
        <v>21.39</v>
      </c>
      <c r="H81" s="85">
        <v>18.13</v>
      </c>
      <c r="I81" s="85">
        <v>18.13</v>
      </c>
      <c r="J81" s="85">
        <v>18.13</v>
      </c>
      <c r="K81" s="85">
        <v>18.28</v>
      </c>
      <c r="L81" s="85">
        <v>18.28</v>
      </c>
      <c r="M81" s="85">
        <v>18.28</v>
      </c>
      <c r="N81" s="85">
        <v>20.0</v>
      </c>
      <c r="O81" s="85">
        <v>21.0</v>
      </c>
      <c r="P81" s="85">
        <v>24.0</v>
      </c>
      <c r="Q81" s="85">
        <v>20.0</v>
      </c>
      <c r="R81" s="85">
        <v>20.0</v>
      </c>
      <c r="S81" s="85">
        <v>21.0</v>
      </c>
      <c r="T81" s="85">
        <v>21.09</v>
      </c>
      <c r="U81" s="85">
        <v>21.09</v>
      </c>
      <c r="V81" s="85">
        <v>27.21</v>
      </c>
      <c r="W81" s="85">
        <v>20.41</v>
      </c>
      <c r="X81" s="85">
        <v>23.57</v>
      </c>
      <c r="Y81" s="85">
        <v>23.57</v>
      </c>
      <c r="Z81" s="85">
        <v>27.22</v>
      </c>
      <c r="AA81" s="85">
        <v>13.95</v>
      </c>
      <c r="AB81" s="85">
        <v>11.81</v>
      </c>
      <c r="AC81" s="85">
        <v>12.51</v>
      </c>
      <c r="AD81" s="85">
        <v>11.81</v>
      </c>
      <c r="AE81" s="85">
        <v>12.78</v>
      </c>
      <c r="AF81" s="85">
        <v>16.3</v>
      </c>
      <c r="AG81" s="85">
        <v>10.73</v>
      </c>
      <c r="AH81" s="27" t="s">
        <v>128</v>
      </c>
      <c r="AI81" s="86"/>
      <c r="AJ81" s="86"/>
    </row>
    <row r="82">
      <c r="B82" s="27" t="s">
        <v>129</v>
      </c>
      <c r="C82" s="85">
        <v>77.52</v>
      </c>
      <c r="D82" s="85">
        <v>71.56</v>
      </c>
      <c r="E82" s="85">
        <v>71.86</v>
      </c>
      <c r="F82" s="85">
        <v>87.0</v>
      </c>
      <c r="G82" s="85">
        <v>94.25</v>
      </c>
      <c r="H82" s="85">
        <v>83.38</v>
      </c>
      <c r="I82" s="85">
        <v>87.0</v>
      </c>
      <c r="J82" s="85">
        <v>87.0</v>
      </c>
      <c r="K82" s="85">
        <v>87.74</v>
      </c>
      <c r="L82" s="85">
        <v>80.43</v>
      </c>
      <c r="M82" s="85">
        <v>71.29</v>
      </c>
      <c r="N82" s="85">
        <v>95.0</v>
      </c>
      <c r="O82" s="85">
        <v>80.0</v>
      </c>
      <c r="P82" s="85">
        <v>93.5</v>
      </c>
      <c r="Q82" s="85">
        <v>95.0</v>
      </c>
      <c r="R82" s="85">
        <v>80.0</v>
      </c>
      <c r="S82" s="85">
        <v>100.0</v>
      </c>
      <c r="T82" s="85">
        <v>96.61</v>
      </c>
      <c r="U82" s="85">
        <v>98.65</v>
      </c>
      <c r="V82" s="85">
        <v>95.25</v>
      </c>
      <c r="W82" s="85">
        <v>95.25</v>
      </c>
      <c r="X82" s="85">
        <v>94.27</v>
      </c>
      <c r="Y82" s="85">
        <v>94.27</v>
      </c>
      <c r="Z82" s="85">
        <v>130.64</v>
      </c>
      <c r="AA82" s="85">
        <v>60.22</v>
      </c>
      <c r="AB82" s="85">
        <v>56.97</v>
      </c>
      <c r="AC82" s="85">
        <v>55.58</v>
      </c>
      <c r="AD82" s="85">
        <v>55.58</v>
      </c>
      <c r="AE82" s="85">
        <v>69.48</v>
      </c>
      <c r="AF82" s="85">
        <v>67.94</v>
      </c>
      <c r="AG82" s="85">
        <v>42.91</v>
      </c>
      <c r="AH82" s="27" t="s">
        <v>129</v>
      </c>
      <c r="AI82" s="86"/>
      <c r="AJ82" s="86"/>
    </row>
    <row r="83">
      <c r="B83" s="27" t="s">
        <v>130</v>
      </c>
      <c r="C83" s="85">
        <v>10.02</v>
      </c>
      <c r="D83" s="85">
        <v>10.14</v>
      </c>
      <c r="E83" s="85">
        <v>9.54</v>
      </c>
      <c r="F83" s="85">
        <v>11.6</v>
      </c>
      <c r="G83" s="85">
        <v>11.6</v>
      </c>
      <c r="H83" s="85">
        <v>11.96</v>
      </c>
      <c r="I83" s="85">
        <v>10.89</v>
      </c>
      <c r="J83" s="85">
        <v>11.24</v>
      </c>
      <c r="K83" s="85">
        <v>11.7</v>
      </c>
      <c r="L83" s="85">
        <v>11.38</v>
      </c>
      <c r="M83" s="85">
        <v>10.97</v>
      </c>
      <c r="N83" s="85">
        <v>12.5</v>
      </c>
      <c r="O83" s="85">
        <v>12.88</v>
      </c>
      <c r="P83" s="85">
        <v>15.0</v>
      </c>
      <c r="Q83" s="85">
        <v>11.3</v>
      </c>
      <c r="R83" s="85">
        <v>12.0</v>
      </c>
      <c r="S83" s="85">
        <v>15.0</v>
      </c>
      <c r="T83" s="85">
        <v>9.53</v>
      </c>
      <c r="U83" s="85">
        <v>10.0</v>
      </c>
      <c r="V83" s="85">
        <v>10.89</v>
      </c>
      <c r="W83" s="85">
        <v>10.89</v>
      </c>
      <c r="X83" s="85">
        <v>16.5</v>
      </c>
      <c r="Y83" s="85">
        <v>14.14</v>
      </c>
      <c r="Z83" s="85">
        <v>16.33</v>
      </c>
      <c r="AA83" s="85">
        <v>12.04</v>
      </c>
      <c r="AB83" s="85">
        <v>9.73</v>
      </c>
      <c r="AC83" s="85">
        <v>9.73</v>
      </c>
      <c r="AD83" s="85">
        <v>9.73</v>
      </c>
      <c r="AE83" s="85">
        <v>9.73</v>
      </c>
      <c r="AF83" s="85">
        <v>7.74</v>
      </c>
      <c r="AG83" s="85">
        <v>7.15</v>
      </c>
      <c r="AH83" s="27" t="s">
        <v>130</v>
      </c>
      <c r="AI83" s="86"/>
      <c r="AJ83" s="86"/>
    </row>
    <row r="84">
      <c r="B84" s="27" t="s">
        <v>131</v>
      </c>
      <c r="C84" s="85">
        <v>2.14</v>
      </c>
      <c r="D84" s="85">
        <v>2.55</v>
      </c>
      <c r="E84" s="85">
        <v>2.56</v>
      </c>
      <c r="F84" s="85">
        <v>3.15</v>
      </c>
      <c r="G84" s="85">
        <v>2.78</v>
      </c>
      <c r="H84" s="85">
        <v>2.93</v>
      </c>
      <c r="I84" s="85">
        <v>2.85</v>
      </c>
      <c r="J84" s="85">
        <v>2.83</v>
      </c>
      <c r="K84" s="85">
        <v>2.12</v>
      </c>
      <c r="L84" s="85">
        <v>1.95</v>
      </c>
      <c r="M84" s="85">
        <v>2.04</v>
      </c>
      <c r="N84" s="85">
        <v>3.13</v>
      </c>
      <c r="O84" s="85">
        <v>2.94</v>
      </c>
      <c r="P84" s="85">
        <v>3.15</v>
      </c>
      <c r="Q84" s="85">
        <v>2.84</v>
      </c>
      <c r="R84" s="85">
        <v>3.21</v>
      </c>
      <c r="S84" s="85">
        <v>2.95</v>
      </c>
      <c r="T84" s="85">
        <v>2.45</v>
      </c>
      <c r="U84" s="85">
        <v>2.33</v>
      </c>
      <c r="V84" s="85">
        <v>3.19</v>
      </c>
      <c r="W84" s="85">
        <v>2.43</v>
      </c>
      <c r="X84" s="85">
        <v>3.97</v>
      </c>
      <c r="Y84" s="85">
        <v>3.95</v>
      </c>
      <c r="Z84" s="85">
        <v>4.33</v>
      </c>
      <c r="AA84" s="85">
        <v>2.95</v>
      </c>
      <c r="AB84" s="85">
        <v>2.53</v>
      </c>
      <c r="AC84" s="85">
        <v>2.72</v>
      </c>
      <c r="AD84" s="85">
        <v>2.8</v>
      </c>
      <c r="AE84" s="85">
        <v>2.06</v>
      </c>
      <c r="AF84" s="85">
        <v>1.64</v>
      </c>
      <c r="AG84" s="85">
        <v>0.85</v>
      </c>
      <c r="AH84" s="27" t="s">
        <v>131</v>
      </c>
      <c r="AI84" s="86"/>
      <c r="AJ84" s="86"/>
    </row>
    <row r="85">
      <c r="B85" s="27" t="s">
        <v>132</v>
      </c>
      <c r="C85" s="85">
        <v>3.62</v>
      </c>
      <c r="D85" s="85">
        <v>3.62</v>
      </c>
      <c r="E85" s="85">
        <v>3.4</v>
      </c>
      <c r="F85" s="85">
        <v>4.03</v>
      </c>
      <c r="G85" s="85">
        <v>3.96</v>
      </c>
      <c r="H85" s="85">
        <v>4.43</v>
      </c>
      <c r="I85" s="85">
        <v>4.25</v>
      </c>
      <c r="J85" s="85">
        <v>4.26</v>
      </c>
      <c r="K85" s="85">
        <v>4.11</v>
      </c>
      <c r="L85" s="85">
        <v>3.93</v>
      </c>
      <c r="M85" s="85">
        <v>4.18</v>
      </c>
      <c r="N85" s="85">
        <v>5.59</v>
      </c>
      <c r="O85" s="85">
        <v>5.21</v>
      </c>
      <c r="P85" s="85">
        <v>5.91</v>
      </c>
      <c r="Q85" s="85">
        <v>5.78</v>
      </c>
      <c r="R85" s="85">
        <v>5.37</v>
      </c>
      <c r="S85" s="85">
        <v>6.11</v>
      </c>
      <c r="T85" s="85">
        <v>5.34</v>
      </c>
      <c r="U85" s="85">
        <v>5.06</v>
      </c>
      <c r="V85" s="85">
        <v>5.25</v>
      </c>
      <c r="W85" s="85">
        <v>4.89</v>
      </c>
      <c r="X85" s="85">
        <v>4.75</v>
      </c>
      <c r="Y85" s="85">
        <v>4.49</v>
      </c>
      <c r="Z85" s="85">
        <v>5.85</v>
      </c>
      <c r="AA85" s="85">
        <v>3.12</v>
      </c>
      <c r="AB85" s="85">
        <v>4.71</v>
      </c>
      <c r="AC85" s="85">
        <v>4.45</v>
      </c>
      <c r="AD85" s="85">
        <v>3.95</v>
      </c>
      <c r="AE85" s="85">
        <v>4.34</v>
      </c>
      <c r="AF85" s="85">
        <v>4.07</v>
      </c>
      <c r="AG85" s="85">
        <v>2.34</v>
      </c>
      <c r="AH85" s="27" t="s">
        <v>132</v>
      </c>
      <c r="AI85" s="86"/>
      <c r="AJ85" s="86"/>
    </row>
    <row r="86">
      <c r="B86" s="82" t="s">
        <v>133</v>
      </c>
      <c r="C86" s="83">
        <f t="shared" ref="C86:AG86" si="4">SUM(C87 + C88 * 2)</f>
        <v>66.08</v>
      </c>
      <c r="D86" s="83">
        <f t="shared" si="4"/>
        <v>70.45</v>
      </c>
      <c r="E86" s="83">
        <f t="shared" si="4"/>
        <v>54.6</v>
      </c>
      <c r="F86" s="83">
        <f t="shared" si="4"/>
        <v>85.5</v>
      </c>
      <c r="G86" s="83">
        <f t="shared" si="4"/>
        <v>109.19</v>
      </c>
      <c r="H86" s="83">
        <f t="shared" si="4"/>
        <v>90.15</v>
      </c>
      <c r="I86" s="83">
        <f t="shared" si="4"/>
        <v>88.68</v>
      </c>
      <c r="J86" s="83">
        <f t="shared" si="4"/>
        <v>88.14</v>
      </c>
      <c r="K86" s="83">
        <f t="shared" si="4"/>
        <v>81.92</v>
      </c>
      <c r="L86" s="83">
        <f t="shared" si="4"/>
        <v>62.23</v>
      </c>
      <c r="M86" s="83">
        <f t="shared" si="4"/>
        <v>73.87</v>
      </c>
      <c r="N86" s="83">
        <f t="shared" si="4"/>
        <v>106.36</v>
      </c>
      <c r="O86" s="83">
        <f t="shared" si="4"/>
        <v>112.11</v>
      </c>
      <c r="P86" s="83">
        <f t="shared" si="4"/>
        <v>96.94</v>
      </c>
      <c r="Q86" s="83">
        <f t="shared" si="4"/>
        <v>77.29</v>
      </c>
      <c r="R86" s="83">
        <f t="shared" si="4"/>
        <v>94.64</v>
      </c>
      <c r="S86" s="83">
        <f t="shared" si="4"/>
        <v>124.07</v>
      </c>
      <c r="T86" s="83">
        <f t="shared" si="4"/>
        <v>68.78</v>
      </c>
      <c r="U86" s="83">
        <f t="shared" si="4"/>
        <v>73.48</v>
      </c>
      <c r="V86" s="83">
        <f t="shared" si="4"/>
        <v>70.7</v>
      </c>
      <c r="W86" s="83">
        <f t="shared" si="4"/>
        <v>78.63</v>
      </c>
      <c r="X86" s="83">
        <f t="shared" si="4"/>
        <v>97.76</v>
      </c>
      <c r="Y86" s="83">
        <f t="shared" si="4"/>
        <v>81.51</v>
      </c>
      <c r="Z86" s="83">
        <f t="shared" si="4"/>
        <v>101.76</v>
      </c>
      <c r="AA86" s="83">
        <f t="shared" si="4"/>
        <v>59.83</v>
      </c>
      <c r="AB86" s="83">
        <f t="shared" si="4"/>
        <v>69.81</v>
      </c>
      <c r="AC86" s="83">
        <f t="shared" si="4"/>
        <v>63.65</v>
      </c>
      <c r="AD86" s="83">
        <f t="shared" si="4"/>
        <v>57.31</v>
      </c>
      <c r="AE86" s="83">
        <f t="shared" si="4"/>
        <v>64.82</v>
      </c>
      <c r="AF86" s="83">
        <f t="shared" si="4"/>
        <v>68.18</v>
      </c>
      <c r="AG86" s="83">
        <f t="shared" si="4"/>
        <v>53.63</v>
      </c>
      <c r="AH86" s="91" t="s">
        <v>134</v>
      </c>
      <c r="AI86" s="86"/>
      <c r="AJ86" s="86"/>
    </row>
    <row r="87">
      <c r="B87" s="27" t="s">
        <v>135</v>
      </c>
      <c r="C87" s="85">
        <v>38.06</v>
      </c>
      <c r="D87" s="85">
        <v>45.41</v>
      </c>
      <c r="E87" s="85">
        <v>30.74</v>
      </c>
      <c r="F87" s="85">
        <v>53.6</v>
      </c>
      <c r="G87" s="85">
        <v>72.93</v>
      </c>
      <c r="H87" s="85">
        <v>58.97</v>
      </c>
      <c r="I87" s="85">
        <v>52.42</v>
      </c>
      <c r="J87" s="85">
        <v>53.34</v>
      </c>
      <c r="K87" s="85">
        <v>54.86</v>
      </c>
      <c r="L87" s="85">
        <v>38.11</v>
      </c>
      <c r="M87" s="85">
        <v>50.47</v>
      </c>
      <c r="N87" s="85">
        <v>72.82</v>
      </c>
      <c r="O87" s="85">
        <v>82.11</v>
      </c>
      <c r="P87" s="85">
        <v>60.94</v>
      </c>
      <c r="Q87" s="85">
        <v>47.29</v>
      </c>
      <c r="R87" s="85">
        <v>64.64</v>
      </c>
      <c r="S87" s="85">
        <v>88.07</v>
      </c>
      <c r="T87" s="85">
        <v>36.12</v>
      </c>
      <c r="U87" s="85">
        <v>35.38</v>
      </c>
      <c r="V87" s="92">
        <v>40.3</v>
      </c>
      <c r="W87" s="85">
        <v>51.49</v>
      </c>
      <c r="X87" s="85">
        <v>62.4</v>
      </c>
      <c r="Y87" s="85">
        <v>48.51</v>
      </c>
      <c r="Z87" s="85">
        <v>60.6</v>
      </c>
      <c r="AA87" s="85">
        <v>43.33</v>
      </c>
      <c r="AB87" s="85">
        <v>50.35</v>
      </c>
      <c r="AC87" s="85">
        <v>46.97</v>
      </c>
      <c r="AD87" s="85">
        <v>39.53</v>
      </c>
      <c r="AE87" s="93">
        <v>48.7</v>
      </c>
      <c r="AF87" s="85">
        <v>49.16</v>
      </c>
      <c r="AG87" s="85">
        <v>39.33</v>
      </c>
      <c r="AH87" s="27" t="s">
        <v>135</v>
      </c>
      <c r="AI87" s="86"/>
      <c r="AJ87" s="86"/>
    </row>
    <row r="88">
      <c r="B88" s="27" t="s">
        <v>136</v>
      </c>
      <c r="C88" s="85">
        <v>14.01</v>
      </c>
      <c r="D88" s="85">
        <v>12.52</v>
      </c>
      <c r="E88" s="85">
        <v>11.93</v>
      </c>
      <c r="F88" s="85">
        <v>15.95</v>
      </c>
      <c r="G88" s="85">
        <v>18.13</v>
      </c>
      <c r="H88" s="85">
        <v>15.59</v>
      </c>
      <c r="I88" s="85">
        <v>18.13</v>
      </c>
      <c r="J88" s="85">
        <v>17.4</v>
      </c>
      <c r="K88" s="85">
        <v>13.53</v>
      </c>
      <c r="L88" s="85">
        <v>12.06</v>
      </c>
      <c r="M88" s="85">
        <v>11.7</v>
      </c>
      <c r="N88" s="85">
        <v>16.77</v>
      </c>
      <c r="O88" s="85">
        <v>15.0</v>
      </c>
      <c r="P88" s="85">
        <v>18.0</v>
      </c>
      <c r="Q88" s="85">
        <v>15.0</v>
      </c>
      <c r="R88" s="85">
        <v>15.0</v>
      </c>
      <c r="S88" s="85">
        <v>18.0</v>
      </c>
      <c r="T88" s="85">
        <v>16.33</v>
      </c>
      <c r="U88" s="85">
        <v>19.05</v>
      </c>
      <c r="V88" s="85">
        <v>15.2</v>
      </c>
      <c r="W88" s="85">
        <v>13.57</v>
      </c>
      <c r="X88" s="85">
        <v>17.68</v>
      </c>
      <c r="Y88" s="85">
        <v>16.5</v>
      </c>
      <c r="Z88" s="85">
        <v>20.58</v>
      </c>
      <c r="AA88" s="85">
        <v>8.25</v>
      </c>
      <c r="AB88" s="85">
        <v>9.73</v>
      </c>
      <c r="AC88" s="85">
        <v>8.34</v>
      </c>
      <c r="AD88" s="85">
        <v>8.89</v>
      </c>
      <c r="AE88" s="93">
        <v>8.06</v>
      </c>
      <c r="AF88" s="85">
        <v>9.51</v>
      </c>
      <c r="AG88" s="85">
        <v>7.15</v>
      </c>
      <c r="AH88" s="27" t="s">
        <v>136</v>
      </c>
      <c r="AI88" s="86"/>
      <c r="AJ88" s="86"/>
    </row>
    <row r="89">
      <c r="B89" s="82" t="s">
        <v>137</v>
      </c>
      <c r="C89" s="83">
        <f t="shared" ref="C89:AG89" si="5">SUM(C90 + C91 + C92 + C93) * 2 / 12</f>
        <v>55.24666667</v>
      </c>
      <c r="D89" s="83">
        <f t="shared" si="5"/>
        <v>61.88333333</v>
      </c>
      <c r="E89" s="83">
        <f t="shared" si="5"/>
        <v>56.64</v>
      </c>
      <c r="F89" s="83">
        <f t="shared" si="5"/>
        <v>65.65833333</v>
      </c>
      <c r="G89" s="83">
        <f t="shared" si="5"/>
        <v>66.08666667</v>
      </c>
      <c r="H89" s="83">
        <f t="shared" si="5"/>
        <v>62.685</v>
      </c>
      <c r="I89" s="83">
        <f t="shared" si="5"/>
        <v>61.63</v>
      </c>
      <c r="J89" s="83">
        <f t="shared" si="5"/>
        <v>68.89333333</v>
      </c>
      <c r="K89" s="83">
        <f t="shared" si="5"/>
        <v>54.73</v>
      </c>
      <c r="L89" s="83">
        <f t="shared" si="5"/>
        <v>52.28666667</v>
      </c>
      <c r="M89" s="83">
        <f t="shared" si="5"/>
        <v>45.345</v>
      </c>
      <c r="N89" s="83">
        <f t="shared" si="5"/>
        <v>60.94833333</v>
      </c>
      <c r="O89" s="83">
        <f t="shared" si="5"/>
        <v>54.78666667</v>
      </c>
      <c r="P89" s="83">
        <f t="shared" si="5"/>
        <v>60.62333333</v>
      </c>
      <c r="Q89" s="83">
        <f t="shared" si="5"/>
        <v>59.33333333</v>
      </c>
      <c r="R89" s="83">
        <f t="shared" si="5"/>
        <v>49.03166667</v>
      </c>
      <c r="S89" s="83">
        <f t="shared" si="5"/>
        <v>67.78</v>
      </c>
      <c r="T89" s="83">
        <f t="shared" si="5"/>
        <v>70.71666667</v>
      </c>
      <c r="U89" s="83">
        <f t="shared" si="5"/>
        <v>58.88</v>
      </c>
      <c r="V89" s="83">
        <f t="shared" si="5"/>
        <v>66.50833333</v>
      </c>
      <c r="W89" s="83">
        <f t="shared" si="5"/>
        <v>55.22166667</v>
      </c>
      <c r="X89" s="83">
        <f t="shared" si="5"/>
        <v>62.92333333</v>
      </c>
      <c r="Y89" s="83">
        <f t="shared" si="5"/>
        <v>66.575</v>
      </c>
      <c r="Z89" s="83">
        <f t="shared" si="5"/>
        <v>76.20666667</v>
      </c>
      <c r="AA89" s="83">
        <f t="shared" si="5"/>
        <v>73.09</v>
      </c>
      <c r="AB89" s="83">
        <f t="shared" si="5"/>
        <v>67.19333333</v>
      </c>
      <c r="AC89" s="83">
        <f t="shared" si="5"/>
        <v>59.95833333</v>
      </c>
      <c r="AD89" s="83">
        <f t="shared" si="5"/>
        <v>54.37833333</v>
      </c>
      <c r="AE89" s="83">
        <f t="shared" si="5"/>
        <v>56.93</v>
      </c>
      <c r="AF89" s="83">
        <f t="shared" si="5"/>
        <v>82.56666667</v>
      </c>
      <c r="AG89" s="83">
        <f t="shared" si="5"/>
        <v>53.31666667</v>
      </c>
      <c r="AH89" s="84" t="s">
        <v>138</v>
      </c>
      <c r="AI89" s="86"/>
      <c r="AJ89" s="86"/>
    </row>
    <row r="90">
      <c r="B90" s="27" t="s">
        <v>139</v>
      </c>
      <c r="C90" s="85">
        <v>70.62</v>
      </c>
      <c r="D90" s="85">
        <v>78.92</v>
      </c>
      <c r="E90" s="85">
        <v>62.43</v>
      </c>
      <c r="F90" s="85">
        <v>78.64</v>
      </c>
      <c r="G90" s="85">
        <v>80.54</v>
      </c>
      <c r="H90" s="85">
        <v>80.98</v>
      </c>
      <c r="I90" s="85">
        <v>76.3</v>
      </c>
      <c r="J90" s="85">
        <v>82.26</v>
      </c>
      <c r="K90" s="85">
        <v>60.46</v>
      </c>
      <c r="L90" s="85">
        <v>55.76</v>
      </c>
      <c r="M90" s="85">
        <v>54.85</v>
      </c>
      <c r="N90" s="85">
        <v>64.42</v>
      </c>
      <c r="O90" s="85">
        <v>48.95</v>
      </c>
      <c r="P90" s="85">
        <v>66.39</v>
      </c>
      <c r="Q90" s="85">
        <v>55.8</v>
      </c>
      <c r="R90" s="85">
        <v>53.6</v>
      </c>
      <c r="S90" s="85">
        <v>73.38</v>
      </c>
      <c r="T90" s="85">
        <v>108.51</v>
      </c>
      <c r="U90" s="85">
        <v>92.39</v>
      </c>
      <c r="V90" s="85">
        <v>106.78</v>
      </c>
      <c r="W90" s="85">
        <v>87.36</v>
      </c>
      <c r="X90" s="85">
        <v>91.43</v>
      </c>
      <c r="Y90" s="85">
        <v>99.63</v>
      </c>
      <c r="Z90" s="85">
        <v>100.08</v>
      </c>
      <c r="AA90" s="85">
        <v>122.89</v>
      </c>
      <c r="AB90" s="85">
        <v>111.45</v>
      </c>
      <c r="AC90" s="85">
        <v>86.84</v>
      </c>
      <c r="AD90" s="85">
        <v>80.07</v>
      </c>
      <c r="AE90" s="85">
        <v>96.11</v>
      </c>
      <c r="AF90" s="85">
        <v>96.78</v>
      </c>
      <c r="AG90" s="85">
        <v>43.75</v>
      </c>
      <c r="AH90" s="27" t="s">
        <v>139</v>
      </c>
      <c r="AI90" s="86"/>
      <c r="AJ90" s="86"/>
    </row>
    <row r="91">
      <c r="B91" s="27" t="s">
        <v>140</v>
      </c>
      <c r="C91" s="85">
        <v>45.55</v>
      </c>
      <c r="D91" s="85">
        <v>29.92</v>
      </c>
      <c r="E91" s="85">
        <v>41.97</v>
      </c>
      <c r="F91" s="85">
        <v>53.72</v>
      </c>
      <c r="G91" s="85">
        <v>72.5</v>
      </c>
      <c r="H91" s="85">
        <v>48.83</v>
      </c>
      <c r="I91" s="85">
        <v>53.71</v>
      </c>
      <c r="J91" s="85">
        <v>57.5</v>
      </c>
      <c r="K91" s="85">
        <v>43.55</v>
      </c>
      <c r="L91" s="85">
        <v>43.0</v>
      </c>
      <c r="M91" s="85">
        <v>35.05</v>
      </c>
      <c r="N91" s="85">
        <v>52.0</v>
      </c>
      <c r="O91" s="85">
        <v>47.18</v>
      </c>
      <c r="P91" s="85">
        <v>56.66</v>
      </c>
      <c r="Q91" s="85">
        <v>51.83</v>
      </c>
      <c r="R91" s="85">
        <v>43.92</v>
      </c>
      <c r="S91" s="85">
        <v>54.0</v>
      </c>
      <c r="T91" s="85">
        <v>50.6</v>
      </c>
      <c r="U91" s="85">
        <v>44.14</v>
      </c>
      <c r="V91" s="85">
        <v>52.9</v>
      </c>
      <c r="W91" s="85">
        <v>43.83</v>
      </c>
      <c r="X91" s="85">
        <v>43.68</v>
      </c>
      <c r="Y91" s="85">
        <v>39.06</v>
      </c>
      <c r="Z91" s="85">
        <v>66.68</v>
      </c>
      <c r="AA91" s="85">
        <v>47.12</v>
      </c>
      <c r="AB91" s="85">
        <v>45.92</v>
      </c>
      <c r="AC91" s="85">
        <v>48.38</v>
      </c>
      <c r="AD91" s="85">
        <v>43.9</v>
      </c>
      <c r="AE91" s="85">
        <v>47.65</v>
      </c>
      <c r="AF91" s="85">
        <v>62.64</v>
      </c>
      <c r="AG91" s="85">
        <v>42.31</v>
      </c>
      <c r="AH91" s="27" t="s">
        <v>140</v>
      </c>
      <c r="AI91" s="86"/>
      <c r="AJ91" s="86"/>
    </row>
    <row r="92">
      <c r="B92" s="27" t="s">
        <v>141</v>
      </c>
      <c r="C92" s="85">
        <v>97.65</v>
      </c>
      <c r="D92" s="85">
        <v>106.42</v>
      </c>
      <c r="E92" s="85">
        <v>107.09</v>
      </c>
      <c r="F92" s="85">
        <v>126.15</v>
      </c>
      <c r="G92" s="85">
        <v>109.96</v>
      </c>
      <c r="H92" s="85">
        <v>123.25</v>
      </c>
      <c r="I92" s="85">
        <v>114.06</v>
      </c>
      <c r="J92" s="85">
        <v>124.37</v>
      </c>
      <c r="K92" s="85">
        <v>97.25</v>
      </c>
      <c r="L92" s="85">
        <v>98.02</v>
      </c>
      <c r="M92" s="85">
        <v>91.34</v>
      </c>
      <c r="N92" s="85">
        <v>99.65</v>
      </c>
      <c r="O92" s="85">
        <v>97.44</v>
      </c>
      <c r="P92" s="85">
        <v>109.23</v>
      </c>
      <c r="Q92" s="85">
        <v>119.67</v>
      </c>
      <c r="R92" s="85">
        <v>84.4</v>
      </c>
      <c r="S92" s="85">
        <v>123.12</v>
      </c>
      <c r="T92" s="85">
        <v>114.22</v>
      </c>
      <c r="U92" s="85">
        <v>109.05</v>
      </c>
      <c r="V92" s="85">
        <v>104.2</v>
      </c>
      <c r="W92" s="85">
        <v>93.98</v>
      </c>
      <c r="X92" s="85">
        <v>109.18</v>
      </c>
      <c r="Y92" s="85">
        <v>110.49</v>
      </c>
      <c r="Z92" s="85">
        <v>127.73</v>
      </c>
      <c r="AA92" s="85">
        <v>115.01</v>
      </c>
      <c r="AB92" s="85">
        <v>111.59</v>
      </c>
      <c r="AC92" s="85">
        <v>100.53</v>
      </c>
      <c r="AD92" s="85">
        <v>97.03</v>
      </c>
      <c r="AE92" s="85">
        <v>96.63</v>
      </c>
      <c r="AF92" s="85">
        <v>153.81</v>
      </c>
      <c r="AG92" s="85">
        <v>123.0</v>
      </c>
      <c r="AH92" s="27" t="s">
        <v>141</v>
      </c>
      <c r="AI92" s="86"/>
      <c r="AJ92" s="86"/>
    </row>
    <row r="93">
      <c r="B93" s="27" t="s">
        <v>142</v>
      </c>
      <c r="C93" s="85">
        <v>117.66</v>
      </c>
      <c r="D93" s="85">
        <v>156.04</v>
      </c>
      <c r="E93" s="85">
        <v>128.35</v>
      </c>
      <c r="F93" s="85">
        <v>135.44</v>
      </c>
      <c r="G93" s="85">
        <v>133.52</v>
      </c>
      <c r="H93" s="85">
        <v>123.05</v>
      </c>
      <c r="I93" s="85">
        <v>125.71</v>
      </c>
      <c r="J93" s="85">
        <v>149.23</v>
      </c>
      <c r="K93" s="85">
        <v>127.12</v>
      </c>
      <c r="L93" s="85">
        <v>116.94</v>
      </c>
      <c r="M93" s="85">
        <v>90.83</v>
      </c>
      <c r="N93" s="85">
        <v>149.62</v>
      </c>
      <c r="O93" s="85">
        <v>135.15</v>
      </c>
      <c r="P93" s="85">
        <v>131.46</v>
      </c>
      <c r="Q93" s="85">
        <v>128.7</v>
      </c>
      <c r="R93" s="85">
        <v>112.27</v>
      </c>
      <c r="S93" s="85">
        <v>156.18</v>
      </c>
      <c r="T93" s="85">
        <v>150.97</v>
      </c>
      <c r="U93" s="85">
        <v>107.7</v>
      </c>
      <c r="V93" s="85">
        <v>135.17</v>
      </c>
      <c r="W93" s="85">
        <v>106.16</v>
      </c>
      <c r="X93" s="85">
        <v>133.25</v>
      </c>
      <c r="Y93" s="85">
        <v>150.27</v>
      </c>
      <c r="Z93" s="85">
        <v>162.75</v>
      </c>
      <c r="AA93" s="85">
        <v>153.52</v>
      </c>
      <c r="AB93" s="85">
        <v>134.2</v>
      </c>
      <c r="AC93" s="85">
        <v>124.0</v>
      </c>
      <c r="AD93" s="85">
        <v>105.27</v>
      </c>
      <c r="AE93" s="85">
        <v>101.19</v>
      </c>
      <c r="AF93" s="85">
        <v>182.17</v>
      </c>
      <c r="AG93" s="85">
        <v>110.84</v>
      </c>
      <c r="AH93" s="27" t="s">
        <v>142</v>
      </c>
      <c r="AI93" s="86"/>
      <c r="AJ93" s="86"/>
    </row>
    <row r="94">
      <c r="B94" s="82" t="s">
        <v>143</v>
      </c>
      <c r="C94" s="83">
        <f t="shared" ref="C94:AG94" si="6">C95</f>
        <v>1315.99</v>
      </c>
      <c r="D94" s="83">
        <f t="shared" si="6"/>
        <v>1289.72</v>
      </c>
      <c r="E94" s="83">
        <f t="shared" si="6"/>
        <v>1272.2</v>
      </c>
      <c r="F94" s="83">
        <f t="shared" si="6"/>
        <v>1773.42</v>
      </c>
      <c r="G94" s="83">
        <f t="shared" si="6"/>
        <v>2565.71</v>
      </c>
      <c r="H94" s="83">
        <f t="shared" si="6"/>
        <v>1975.14</v>
      </c>
      <c r="I94" s="83">
        <f t="shared" si="6"/>
        <v>1915.47</v>
      </c>
      <c r="J94" s="83">
        <f t="shared" si="6"/>
        <v>1832.46</v>
      </c>
      <c r="K94" s="83">
        <f t="shared" si="6"/>
        <v>1651.21</v>
      </c>
      <c r="L94" s="83">
        <f t="shared" si="6"/>
        <v>1332.51</v>
      </c>
      <c r="M94" s="83">
        <f t="shared" si="6"/>
        <v>1492.69</v>
      </c>
      <c r="N94" s="83">
        <f t="shared" si="6"/>
        <v>2496.43</v>
      </c>
      <c r="O94" s="83">
        <f t="shared" si="6"/>
        <v>1927.12</v>
      </c>
      <c r="P94" s="83">
        <f t="shared" si="6"/>
        <v>3331.87</v>
      </c>
      <c r="Q94" s="83">
        <f t="shared" si="6"/>
        <v>1757.33</v>
      </c>
      <c r="R94" s="83">
        <f t="shared" si="6"/>
        <v>1969.5</v>
      </c>
      <c r="S94" s="83">
        <f t="shared" si="6"/>
        <v>2362.69</v>
      </c>
      <c r="T94" s="83">
        <f t="shared" si="6"/>
        <v>1429.82</v>
      </c>
      <c r="U94" s="83">
        <f t="shared" si="6"/>
        <v>1204.58</v>
      </c>
      <c r="V94" s="83">
        <f t="shared" si="6"/>
        <v>1556.33</v>
      </c>
      <c r="W94" s="83">
        <f t="shared" si="6"/>
        <v>1769.82</v>
      </c>
      <c r="X94" s="83">
        <f t="shared" si="6"/>
        <v>2601.97</v>
      </c>
      <c r="Y94" s="83">
        <f t="shared" si="6"/>
        <v>1816.99</v>
      </c>
      <c r="Z94" s="83">
        <f t="shared" si="6"/>
        <v>2009.8</v>
      </c>
      <c r="AA94" s="83">
        <f t="shared" si="6"/>
        <v>915.47</v>
      </c>
      <c r="AB94" s="83">
        <f t="shared" si="6"/>
        <v>1235.59</v>
      </c>
      <c r="AC94" s="83">
        <f t="shared" si="6"/>
        <v>980.08</v>
      </c>
      <c r="AD94" s="83">
        <f t="shared" si="6"/>
        <v>638.99</v>
      </c>
      <c r="AE94" s="83">
        <f t="shared" si="6"/>
        <v>1013.02</v>
      </c>
      <c r="AF94" s="83">
        <f t="shared" si="6"/>
        <v>1598.62</v>
      </c>
      <c r="AG94" s="83">
        <f t="shared" si="6"/>
        <v>606.83</v>
      </c>
      <c r="AH94" s="84" t="s">
        <v>143</v>
      </c>
    </row>
    <row r="95">
      <c r="B95" s="27" t="s">
        <v>144</v>
      </c>
      <c r="C95" s="88">
        <v>1315.99</v>
      </c>
      <c r="D95" s="88">
        <v>1289.72</v>
      </c>
      <c r="E95" s="88">
        <v>1272.2</v>
      </c>
      <c r="F95" s="88">
        <v>1773.42</v>
      </c>
      <c r="G95" s="88">
        <v>2565.71</v>
      </c>
      <c r="H95" s="88">
        <v>1975.14</v>
      </c>
      <c r="I95" s="88">
        <v>1915.47</v>
      </c>
      <c r="J95" s="88">
        <v>1832.46</v>
      </c>
      <c r="K95" s="88">
        <v>1651.21</v>
      </c>
      <c r="L95" s="88">
        <v>1332.51</v>
      </c>
      <c r="M95" s="88">
        <v>1492.69</v>
      </c>
      <c r="N95" s="88">
        <v>2496.43</v>
      </c>
      <c r="O95" s="88">
        <v>1927.12</v>
      </c>
      <c r="P95" s="88">
        <v>3331.87</v>
      </c>
      <c r="Q95" s="88">
        <v>1757.33</v>
      </c>
      <c r="R95" s="88">
        <v>1969.5</v>
      </c>
      <c r="S95" s="88">
        <v>2362.69</v>
      </c>
      <c r="T95" s="88">
        <v>1429.82</v>
      </c>
      <c r="U95" s="88">
        <v>1204.58</v>
      </c>
      <c r="V95" s="88">
        <v>1556.33</v>
      </c>
      <c r="W95" s="88">
        <v>1769.82</v>
      </c>
      <c r="X95" s="88">
        <v>2601.97</v>
      </c>
      <c r="Y95" s="88">
        <v>1816.99</v>
      </c>
      <c r="Z95" s="88">
        <v>2009.8</v>
      </c>
      <c r="AA95" s="88">
        <v>915.47</v>
      </c>
      <c r="AB95" s="88">
        <v>1235.59</v>
      </c>
      <c r="AC95" s="88">
        <v>980.08</v>
      </c>
      <c r="AD95" s="88">
        <v>638.99</v>
      </c>
      <c r="AE95" s="88">
        <v>1013.02</v>
      </c>
      <c r="AF95" s="88">
        <v>1598.62</v>
      </c>
      <c r="AG95" s="88">
        <v>606.83</v>
      </c>
      <c r="AH95" s="27" t="s">
        <v>144</v>
      </c>
    </row>
    <row r="96">
      <c r="B96" s="27" t="s">
        <v>145</v>
      </c>
      <c r="C96" s="88">
        <v>1253.97</v>
      </c>
      <c r="D96" s="88">
        <v>1238.14</v>
      </c>
      <c r="E96" s="88">
        <v>1120.27</v>
      </c>
      <c r="F96" s="88">
        <v>1339.37</v>
      </c>
      <c r="G96" s="88">
        <v>1739.29</v>
      </c>
      <c r="H96" s="88">
        <v>1440.41</v>
      </c>
      <c r="I96" s="88">
        <v>1553.93</v>
      </c>
      <c r="J96" s="88">
        <v>1415.74</v>
      </c>
      <c r="K96" s="88">
        <v>1457.65</v>
      </c>
      <c r="L96" s="88">
        <v>983.18</v>
      </c>
      <c r="M96" s="88">
        <v>1264.94</v>
      </c>
      <c r="N96" s="88">
        <v>1770.05</v>
      </c>
      <c r="O96" s="88">
        <v>1331.79</v>
      </c>
      <c r="P96" s="88">
        <v>2712.67</v>
      </c>
      <c r="Q96" s="88">
        <v>1428.16</v>
      </c>
      <c r="R96" s="88">
        <v>1387.67</v>
      </c>
      <c r="S96" s="88">
        <v>1907.69</v>
      </c>
      <c r="T96" s="88">
        <v>1131.44</v>
      </c>
      <c r="U96" s="88">
        <v>828.23</v>
      </c>
      <c r="V96" s="88">
        <v>1225.2</v>
      </c>
      <c r="W96" s="88">
        <v>1275.13</v>
      </c>
      <c r="X96" s="88">
        <v>1976.03</v>
      </c>
      <c r="Y96" s="88">
        <v>1533.77</v>
      </c>
      <c r="Z96" s="88">
        <v>1595.57</v>
      </c>
      <c r="AA96" s="88">
        <v>614.0</v>
      </c>
      <c r="AB96" s="88">
        <v>976.0</v>
      </c>
      <c r="AC96" s="88">
        <v>821.85</v>
      </c>
      <c r="AD96" s="88">
        <v>498.33</v>
      </c>
      <c r="AE96" s="88">
        <v>791.52</v>
      </c>
      <c r="AF96" s="88">
        <v>860.52</v>
      </c>
      <c r="AG96" s="88">
        <v>376.12</v>
      </c>
      <c r="AH96" s="27" t="s">
        <v>145</v>
      </c>
    </row>
    <row r="97">
      <c r="B97" s="27" t="s">
        <v>146</v>
      </c>
      <c r="C97" s="88">
        <v>2425.92</v>
      </c>
      <c r="D97" s="88">
        <v>2268.84</v>
      </c>
      <c r="E97" s="88">
        <v>1626.52</v>
      </c>
      <c r="F97" s="88">
        <v>3468.94</v>
      </c>
      <c r="G97" s="88">
        <v>5031.56</v>
      </c>
      <c r="H97" s="88">
        <v>3459.19</v>
      </c>
      <c r="I97" s="88">
        <v>3009.99</v>
      </c>
      <c r="J97" s="88">
        <v>2525.93</v>
      </c>
      <c r="K97" s="88">
        <v>2715.46</v>
      </c>
      <c r="L97" s="88">
        <v>2254.66</v>
      </c>
      <c r="M97" s="88">
        <v>2294.08</v>
      </c>
      <c r="N97" s="88">
        <v>5146.88</v>
      </c>
      <c r="O97" s="88">
        <v>3935.0</v>
      </c>
      <c r="P97" s="88">
        <v>5258.21</v>
      </c>
      <c r="Q97" s="88">
        <v>3790.83</v>
      </c>
      <c r="R97" s="88">
        <v>3744.12</v>
      </c>
      <c r="S97" s="88">
        <v>4680.0</v>
      </c>
      <c r="T97" s="88">
        <v>2263.75</v>
      </c>
      <c r="U97" s="88">
        <v>2296.9</v>
      </c>
      <c r="V97" s="88">
        <v>2468.01</v>
      </c>
      <c r="W97" s="88">
        <v>2936.9</v>
      </c>
      <c r="X97" s="88">
        <v>4022.03</v>
      </c>
      <c r="Y97" s="88">
        <v>3171.05</v>
      </c>
      <c r="Z97" s="88">
        <v>2892.34</v>
      </c>
      <c r="AA97" s="88">
        <v>1701.57</v>
      </c>
      <c r="AB97" s="88">
        <v>2156.97</v>
      </c>
      <c r="AC97" s="88">
        <v>1514.67</v>
      </c>
      <c r="AD97" s="88">
        <v>1138.62</v>
      </c>
      <c r="AE97" s="88">
        <v>1739.36</v>
      </c>
      <c r="AF97" s="88">
        <v>3380.5</v>
      </c>
      <c r="AG97" s="88">
        <v>1085.6</v>
      </c>
      <c r="AH97" s="27" t="s">
        <v>146</v>
      </c>
    </row>
    <row r="98">
      <c r="B98" s="27" t="s">
        <v>147</v>
      </c>
      <c r="C98" s="88">
        <v>1853.25</v>
      </c>
      <c r="D98" s="88">
        <v>1839.77</v>
      </c>
      <c r="E98" s="88">
        <v>1577.32</v>
      </c>
      <c r="F98" s="88">
        <v>2454.49</v>
      </c>
      <c r="G98" s="88">
        <v>3010.23</v>
      </c>
      <c r="H98" s="88">
        <v>2418.75</v>
      </c>
      <c r="I98" s="88">
        <v>2247.72</v>
      </c>
      <c r="J98" s="88">
        <v>2010.69</v>
      </c>
      <c r="K98" s="88">
        <v>2249.79</v>
      </c>
      <c r="L98" s="88">
        <v>1652.44</v>
      </c>
      <c r="M98" s="88">
        <v>1923.46</v>
      </c>
      <c r="N98" s="88">
        <v>3139.56</v>
      </c>
      <c r="O98" s="88">
        <v>2267.69</v>
      </c>
      <c r="P98" s="88">
        <v>4386.84</v>
      </c>
      <c r="Q98" s="88">
        <v>2451.67</v>
      </c>
      <c r="R98" s="88">
        <v>2574.71</v>
      </c>
      <c r="S98" s="88">
        <v>3493.33</v>
      </c>
      <c r="T98" s="88">
        <v>1734.92</v>
      </c>
      <c r="U98" s="88">
        <v>1350.68</v>
      </c>
      <c r="V98" s="88">
        <v>1948.56</v>
      </c>
      <c r="W98" s="88">
        <v>2107.88</v>
      </c>
      <c r="X98" s="88">
        <v>3023.6</v>
      </c>
      <c r="Y98" s="88">
        <v>2431.98</v>
      </c>
      <c r="Z98" s="88">
        <v>2297.21</v>
      </c>
      <c r="AA98" s="88">
        <v>1126.22</v>
      </c>
      <c r="AB98" s="88">
        <v>1557.75</v>
      </c>
      <c r="AC98" s="88">
        <v>1259.33</v>
      </c>
      <c r="AD98" s="88">
        <v>871.41</v>
      </c>
      <c r="AE98" s="88">
        <v>1140.33</v>
      </c>
      <c r="AF98" s="88">
        <v>1598.92</v>
      </c>
      <c r="AG98" s="88">
        <v>715.52</v>
      </c>
      <c r="AH98" s="27" t="s">
        <v>147</v>
      </c>
    </row>
    <row r="99">
      <c r="B99" s="82" t="s">
        <v>148</v>
      </c>
      <c r="C99" s="83">
        <f t="shared" ref="C99:AG99" si="7">SUM(C100 + C101 + C102)</f>
        <v>270.2</v>
      </c>
      <c r="D99" s="83">
        <f t="shared" si="7"/>
        <v>287.26</v>
      </c>
      <c r="E99" s="83">
        <f t="shared" si="7"/>
        <v>253.37</v>
      </c>
      <c r="F99" s="83">
        <f t="shared" si="7"/>
        <v>323.1</v>
      </c>
      <c r="G99" s="83">
        <f t="shared" si="7"/>
        <v>304.04</v>
      </c>
      <c r="H99" s="83">
        <f t="shared" si="7"/>
        <v>262.62</v>
      </c>
      <c r="I99" s="83">
        <f t="shared" si="7"/>
        <v>289.11</v>
      </c>
      <c r="J99" s="83">
        <f t="shared" si="7"/>
        <v>284.75</v>
      </c>
      <c r="K99" s="83">
        <f t="shared" si="7"/>
        <v>229.95</v>
      </c>
      <c r="L99" s="83">
        <f t="shared" si="7"/>
        <v>170.49</v>
      </c>
      <c r="M99" s="83">
        <f t="shared" si="7"/>
        <v>235</v>
      </c>
      <c r="N99" s="83">
        <f t="shared" si="7"/>
        <v>308.68</v>
      </c>
      <c r="O99" s="83">
        <f t="shared" si="7"/>
        <v>382.33</v>
      </c>
      <c r="P99" s="83">
        <f t="shared" si="7"/>
        <v>408.16</v>
      </c>
      <c r="Q99" s="83">
        <f t="shared" si="7"/>
        <v>349.91</v>
      </c>
      <c r="R99" s="83">
        <f t="shared" si="7"/>
        <v>328.81</v>
      </c>
      <c r="S99" s="83">
        <f t="shared" si="7"/>
        <v>441.78</v>
      </c>
      <c r="T99" s="83">
        <f t="shared" si="7"/>
        <v>410.9</v>
      </c>
      <c r="U99" s="83">
        <f t="shared" si="7"/>
        <v>364.28</v>
      </c>
      <c r="V99" s="83">
        <f t="shared" si="7"/>
        <v>420.1</v>
      </c>
      <c r="W99" s="83">
        <f t="shared" si="7"/>
        <v>337.18</v>
      </c>
      <c r="X99" s="83">
        <f t="shared" si="7"/>
        <v>381.12</v>
      </c>
      <c r="Y99" s="83">
        <f t="shared" si="7"/>
        <v>382.48</v>
      </c>
      <c r="Z99" s="83">
        <f t="shared" si="7"/>
        <v>485.26</v>
      </c>
      <c r="AA99" s="83">
        <f t="shared" si="7"/>
        <v>294.89</v>
      </c>
      <c r="AB99" s="83">
        <f t="shared" si="7"/>
        <v>378.53</v>
      </c>
      <c r="AC99" s="83">
        <f t="shared" si="7"/>
        <v>367.44</v>
      </c>
      <c r="AD99" s="83">
        <f t="shared" si="7"/>
        <v>371.27</v>
      </c>
      <c r="AE99" s="83">
        <f t="shared" si="7"/>
        <v>360.74</v>
      </c>
      <c r="AF99" s="83">
        <f t="shared" si="7"/>
        <v>213.82</v>
      </c>
      <c r="AG99" s="83">
        <f t="shared" si="7"/>
        <v>85.12</v>
      </c>
      <c r="AH99" s="84" t="s">
        <v>148</v>
      </c>
    </row>
    <row r="100">
      <c r="B100" s="27" t="s">
        <v>149</v>
      </c>
      <c r="C100" s="85">
        <v>189.72</v>
      </c>
      <c r="D100" s="85">
        <v>199.63</v>
      </c>
      <c r="E100" s="85">
        <v>175.57</v>
      </c>
      <c r="F100" s="85">
        <v>236.84</v>
      </c>
      <c r="G100" s="85">
        <v>223.79</v>
      </c>
      <c r="H100" s="85">
        <v>173.09</v>
      </c>
      <c r="I100" s="85">
        <v>194.69</v>
      </c>
      <c r="J100" s="85">
        <v>199.31</v>
      </c>
      <c r="K100" s="85">
        <v>142.37</v>
      </c>
      <c r="L100" s="85">
        <v>89.22</v>
      </c>
      <c r="M100" s="85">
        <v>150.68</v>
      </c>
      <c r="N100" s="85">
        <v>174.68</v>
      </c>
      <c r="O100" s="85">
        <v>239.0</v>
      </c>
      <c r="P100" s="85">
        <v>256.43</v>
      </c>
      <c r="Q100" s="85">
        <v>210.92</v>
      </c>
      <c r="R100" s="85">
        <v>203.39</v>
      </c>
      <c r="S100" s="85">
        <v>284.91</v>
      </c>
      <c r="T100" s="85">
        <v>339.55</v>
      </c>
      <c r="U100" s="85">
        <v>298.78</v>
      </c>
      <c r="V100" s="85">
        <v>335.08</v>
      </c>
      <c r="W100" s="85">
        <v>278.77</v>
      </c>
      <c r="X100" s="85">
        <v>300.54</v>
      </c>
      <c r="Y100" s="85">
        <v>304.58</v>
      </c>
      <c r="Z100" s="85">
        <v>390.95</v>
      </c>
      <c r="AA100" s="85">
        <v>233.58</v>
      </c>
      <c r="AB100" s="85">
        <v>350.04</v>
      </c>
      <c r="AC100" s="85">
        <v>338.5</v>
      </c>
      <c r="AD100" s="85">
        <v>343.81</v>
      </c>
      <c r="AE100" s="85">
        <v>326.71</v>
      </c>
      <c r="AF100" s="85">
        <v>194.28</v>
      </c>
      <c r="AG100" s="85">
        <v>62.26</v>
      </c>
      <c r="AH100" s="27" t="s">
        <v>149</v>
      </c>
    </row>
    <row r="101">
      <c r="B101" s="27" t="s">
        <v>150</v>
      </c>
      <c r="C101" s="85">
        <v>51.29</v>
      </c>
      <c r="D101" s="85">
        <v>55.33</v>
      </c>
      <c r="E101" s="85">
        <v>52.29</v>
      </c>
      <c r="F101" s="85">
        <v>56.31</v>
      </c>
      <c r="G101" s="85">
        <v>55.98</v>
      </c>
      <c r="H101" s="85">
        <v>61.63</v>
      </c>
      <c r="I101" s="85">
        <v>63.08</v>
      </c>
      <c r="J101" s="85">
        <v>57.61</v>
      </c>
      <c r="K101" s="85">
        <v>50.4</v>
      </c>
      <c r="L101" s="85">
        <v>43.35</v>
      </c>
      <c r="M101" s="85">
        <v>47.13</v>
      </c>
      <c r="N101" s="85">
        <v>64.5</v>
      </c>
      <c r="O101" s="85">
        <v>74.89</v>
      </c>
      <c r="P101" s="85">
        <v>82.68</v>
      </c>
      <c r="Q101" s="85">
        <v>72.06</v>
      </c>
      <c r="R101" s="85">
        <v>67.85</v>
      </c>
      <c r="S101" s="85">
        <v>82.94</v>
      </c>
      <c r="T101" s="85">
        <v>49.58</v>
      </c>
      <c r="U101" s="85">
        <v>42.68</v>
      </c>
      <c r="V101" s="85">
        <v>54.88</v>
      </c>
      <c r="W101" s="85">
        <v>41.4</v>
      </c>
      <c r="X101" s="85">
        <v>56.64</v>
      </c>
      <c r="Y101" s="85">
        <v>55.46</v>
      </c>
      <c r="Z101" s="85">
        <v>60.7</v>
      </c>
      <c r="AA101" s="85">
        <v>39.78</v>
      </c>
      <c r="AB101" s="85">
        <v>18.93</v>
      </c>
      <c r="AC101" s="85">
        <v>19.28</v>
      </c>
      <c r="AD101" s="85">
        <v>18.13</v>
      </c>
      <c r="AE101" s="85">
        <v>21.65</v>
      </c>
      <c r="AF101" s="85">
        <v>10.32</v>
      </c>
      <c r="AG101" s="85">
        <v>13.69</v>
      </c>
      <c r="AH101" s="27" t="s">
        <v>150</v>
      </c>
    </row>
    <row r="102">
      <c r="B102" s="27" t="s">
        <v>151</v>
      </c>
      <c r="C102" s="85">
        <v>29.19</v>
      </c>
      <c r="D102" s="85">
        <v>32.3</v>
      </c>
      <c r="E102" s="85">
        <v>25.51</v>
      </c>
      <c r="F102" s="85">
        <v>29.95</v>
      </c>
      <c r="G102" s="85">
        <v>24.27</v>
      </c>
      <c r="H102" s="85">
        <v>27.9</v>
      </c>
      <c r="I102" s="85">
        <v>31.34</v>
      </c>
      <c r="J102" s="85">
        <v>27.83</v>
      </c>
      <c r="K102" s="85">
        <v>37.18</v>
      </c>
      <c r="L102" s="85">
        <v>37.92</v>
      </c>
      <c r="M102" s="85">
        <v>37.19</v>
      </c>
      <c r="N102" s="85">
        <v>69.5</v>
      </c>
      <c r="O102" s="85">
        <v>68.44</v>
      </c>
      <c r="P102" s="85">
        <v>69.05</v>
      </c>
      <c r="Q102" s="85">
        <v>66.93</v>
      </c>
      <c r="R102" s="85">
        <v>57.57</v>
      </c>
      <c r="S102" s="85">
        <v>73.93</v>
      </c>
      <c r="T102" s="85">
        <v>21.77</v>
      </c>
      <c r="U102" s="85">
        <v>22.82</v>
      </c>
      <c r="V102" s="85">
        <v>30.14</v>
      </c>
      <c r="W102" s="85">
        <v>17.01</v>
      </c>
      <c r="X102" s="85">
        <v>23.94</v>
      </c>
      <c r="Y102" s="85">
        <v>22.44</v>
      </c>
      <c r="Z102" s="85">
        <v>33.61</v>
      </c>
      <c r="AA102" s="85">
        <v>21.53</v>
      </c>
      <c r="AB102" s="85">
        <v>9.56</v>
      </c>
      <c r="AC102" s="85">
        <v>9.66</v>
      </c>
      <c r="AD102" s="85">
        <v>9.33</v>
      </c>
      <c r="AE102" s="85">
        <v>12.38</v>
      </c>
      <c r="AF102" s="85">
        <v>9.22</v>
      </c>
      <c r="AG102" s="85">
        <v>9.17</v>
      </c>
      <c r="AH102" s="27" t="s">
        <v>151</v>
      </c>
    </row>
    <row r="103">
      <c r="B103" s="94"/>
    </row>
    <row r="104">
      <c r="B104" s="95" t="s">
        <v>152</v>
      </c>
      <c r="C104" s="88">
        <f t="shared" ref="C104:AG104" si="8">SUM(C56 + C72 + C89 + C94 + C99)</f>
        <v>2162.674667</v>
      </c>
      <c r="D104" s="88">
        <f t="shared" si="8"/>
        <v>2150.218333</v>
      </c>
      <c r="E104" s="88">
        <f t="shared" si="8"/>
        <v>2083.5375</v>
      </c>
      <c r="F104" s="88">
        <f t="shared" si="8"/>
        <v>2815.353833</v>
      </c>
      <c r="G104" s="88">
        <f t="shared" si="8"/>
        <v>3576.846667</v>
      </c>
      <c r="H104" s="88">
        <f t="shared" si="8"/>
        <v>2774.053</v>
      </c>
      <c r="I104" s="88">
        <f t="shared" si="8"/>
        <v>2852.489</v>
      </c>
      <c r="J104" s="88">
        <f t="shared" si="8"/>
        <v>2778.236333</v>
      </c>
      <c r="K104" s="88">
        <f t="shared" si="8"/>
        <v>2529.0865</v>
      </c>
      <c r="L104" s="88">
        <f t="shared" si="8"/>
        <v>2117.740667</v>
      </c>
      <c r="M104" s="88">
        <f t="shared" si="8"/>
        <v>2334.307</v>
      </c>
      <c r="N104" s="88">
        <f t="shared" si="8"/>
        <v>3489.461833</v>
      </c>
      <c r="O104" s="88">
        <f t="shared" si="8"/>
        <v>3020.848167</v>
      </c>
      <c r="P104" s="88">
        <f t="shared" si="8"/>
        <v>4402.601333</v>
      </c>
      <c r="Q104" s="88">
        <f t="shared" si="8"/>
        <v>2802.332833</v>
      </c>
      <c r="R104" s="88">
        <f t="shared" si="8"/>
        <v>2884.926667</v>
      </c>
      <c r="S104" s="88">
        <f t="shared" si="8"/>
        <v>3576.1335</v>
      </c>
      <c r="T104" s="88">
        <f t="shared" si="8"/>
        <v>2499.246667</v>
      </c>
      <c r="U104" s="88">
        <f t="shared" si="8"/>
        <v>2249.8215</v>
      </c>
      <c r="V104" s="88">
        <f t="shared" si="8"/>
        <v>2673.300333</v>
      </c>
      <c r="W104" s="88">
        <f t="shared" si="8"/>
        <v>2721.365167</v>
      </c>
      <c r="X104" s="88">
        <f t="shared" si="8"/>
        <v>3785.154833</v>
      </c>
      <c r="Y104" s="88">
        <f t="shared" si="8"/>
        <v>2957.3875</v>
      </c>
      <c r="Z104" s="88">
        <f t="shared" si="8"/>
        <v>3768.003167</v>
      </c>
      <c r="AA104" s="88">
        <f t="shared" si="8"/>
        <v>1687.2745</v>
      </c>
      <c r="AB104" s="88">
        <f t="shared" si="8"/>
        <v>2068.517333</v>
      </c>
      <c r="AC104" s="88">
        <f t="shared" si="8"/>
        <v>1771.767833</v>
      </c>
      <c r="AD104" s="88">
        <f t="shared" si="8"/>
        <v>1398.960833</v>
      </c>
      <c r="AE104" s="88">
        <f t="shared" si="8"/>
        <v>1769.4535</v>
      </c>
      <c r="AF104" s="88">
        <f t="shared" si="8"/>
        <v>2287.096167</v>
      </c>
      <c r="AG104" s="88">
        <f t="shared" si="8"/>
        <v>1015.952667</v>
      </c>
      <c r="AH104" s="96" t="s">
        <v>152</v>
      </c>
    </row>
    <row r="105">
      <c r="B105" s="95" t="s">
        <v>153</v>
      </c>
      <c r="C105" s="88">
        <f t="shared" ref="C105:AG105" si="9">SUM(C56 + C72 + C80 + C86 + C89 + C94 + C99)</f>
        <v>2400.874667</v>
      </c>
      <c r="D105" s="88">
        <f t="shared" si="9"/>
        <v>2393.268333</v>
      </c>
      <c r="E105" s="88">
        <f t="shared" si="9"/>
        <v>2303.9375</v>
      </c>
      <c r="F105" s="88">
        <f t="shared" si="9"/>
        <v>3100.373833</v>
      </c>
      <c r="G105" s="88">
        <f t="shared" si="9"/>
        <v>3897.196667</v>
      </c>
      <c r="H105" s="88">
        <f t="shared" si="9"/>
        <v>3073.163</v>
      </c>
      <c r="I105" s="88">
        <f t="shared" si="9"/>
        <v>3142.249</v>
      </c>
      <c r="J105" s="88">
        <f t="shared" si="9"/>
        <v>3069.056333</v>
      </c>
      <c r="K105" s="88">
        <f t="shared" si="9"/>
        <v>2813.1265</v>
      </c>
      <c r="L105" s="88">
        <f t="shared" si="9"/>
        <v>2377.210667</v>
      </c>
      <c r="M105" s="88">
        <f t="shared" si="9"/>
        <v>2608.777</v>
      </c>
      <c r="N105" s="88">
        <f t="shared" si="9"/>
        <v>3837.621833</v>
      </c>
      <c r="O105" s="88">
        <f t="shared" si="9"/>
        <v>3372.678167</v>
      </c>
      <c r="P105" s="88">
        <f t="shared" si="9"/>
        <v>4773.741333</v>
      </c>
      <c r="Q105" s="88">
        <f t="shared" si="9"/>
        <v>3120.422833</v>
      </c>
      <c r="R105" s="88">
        <f t="shared" si="9"/>
        <v>3214.966667</v>
      </c>
      <c r="S105" s="88">
        <f t="shared" si="9"/>
        <v>3966.4035</v>
      </c>
      <c r="T105" s="88">
        <f t="shared" si="9"/>
        <v>2797.306667</v>
      </c>
      <c r="U105" s="88">
        <f t="shared" si="9"/>
        <v>2548.8615</v>
      </c>
      <c r="V105" s="88">
        <f t="shared" si="9"/>
        <v>3001.400333</v>
      </c>
      <c r="W105" s="88">
        <f t="shared" si="9"/>
        <v>3022.995167</v>
      </c>
      <c r="X105" s="88">
        <f t="shared" si="9"/>
        <v>4138.194833</v>
      </c>
      <c r="Y105" s="88">
        <f t="shared" si="9"/>
        <v>3279.5375</v>
      </c>
      <c r="Z105" s="88">
        <f t="shared" si="9"/>
        <v>4160.963167</v>
      </c>
      <c r="AA105" s="88">
        <f t="shared" si="9"/>
        <v>1913.4645</v>
      </c>
      <c r="AB105" s="88">
        <f t="shared" si="9"/>
        <v>2318.687333</v>
      </c>
      <c r="AC105" s="88">
        <f t="shared" si="9"/>
        <v>2013.377833</v>
      </c>
      <c r="AD105" s="88">
        <f t="shared" si="9"/>
        <v>1621.430833</v>
      </c>
      <c r="AE105" s="88">
        <f t="shared" si="9"/>
        <v>2011.1135</v>
      </c>
      <c r="AF105" s="88">
        <f t="shared" si="9"/>
        <v>2532.836167</v>
      </c>
      <c r="AG105" s="88">
        <f t="shared" si="9"/>
        <v>1187.902667</v>
      </c>
      <c r="AH105" s="96" t="s">
        <v>153</v>
      </c>
    </row>
    <row r="106">
      <c r="B106" s="94"/>
      <c r="C106" s="97"/>
      <c r="D106" s="97"/>
      <c r="E106" s="97"/>
      <c r="F106" s="98"/>
      <c r="G106" s="98"/>
      <c r="H106" s="98"/>
      <c r="I106" s="97"/>
      <c r="J106" s="98"/>
      <c r="K106" s="98"/>
      <c r="L106" s="98"/>
      <c r="M106" s="94"/>
      <c r="N106" s="98"/>
      <c r="O106" s="97"/>
      <c r="P106" s="97"/>
      <c r="Q106" s="97"/>
      <c r="R106" s="97"/>
      <c r="S106" s="97"/>
      <c r="T106" s="98"/>
      <c r="U106" s="98"/>
      <c r="V106" s="98"/>
      <c r="W106" s="98"/>
      <c r="X106" s="98"/>
      <c r="Y106" s="98"/>
      <c r="Z106" s="98"/>
      <c r="AA106" s="98"/>
      <c r="AB106" s="98"/>
      <c r="AC106" s="98"/>
      <c r="AD106" s="98"/>
      <c r="AE106" s="98"/>
      <c r="AF106" s="98"/>
      <c r="AG106" s="98"/>
      <c r="AH106" s="98"/>
    </row>
    <row r="107">
      <c r="B107" s="99" t="s">
        <v>154</v>
      </c>
      <c r="C107" s="88">
        <f t="shared" ref="C107:AG107" si="10">SUM(C56 * 1.7 + C72 * 2 + C89 * 2 + C94 + C99 * 2)</f>
        <v>2927.753933</v>
      </c>
      <c r="D107" s="88">
        <f t="shared" si="10"/>
        <v>2923.706167</v>
      </c>
      <c r="E107" s="88">
        <f t="shared" si="10"/>
        <v>2810.47675</v>
      </c>
      <c r="F107" s="88">
        <f t="shared" si="10"/>
        <v>3759.912017</v>
      </c>
      <c r="G107" s="88">
        <f t="shared" si="10"/>
        <v>4497.425333</v>
      </c>
      <c r="H107" s="88">
        <f t="shared" si="10"/>
        <v>3480.9116</v>
      </c>
      <c r="I107" s="88">
        <f t="shared" si="10"/>
        <v>3701.2333</v>
      </c>
      <c r="J107" s="88">
        <f t="shared" si="10"/>
        <v>3626.733767</v>
      </c>
      <c r="K107" s="88">
        <f t="shared" si="10"/>
        <v>3309.88405</v>
      </c>
      <c r="L107" s="88">
        <f t="shared" si="10"/>
        <v>2809.214133</v>
      </c>
      <c r="M107" s="88">
        <f t="shared" si="10"/>
        <v>3078.8644</v>
      </c>
      <c r="N107" s="88">
        <f t="shared" si="10"/>
        <v>4366.722617</v>
      </c>
      <c r="O107" s="88">
        <f t="shared" si="10"/>
        <v>3990.342883</v>
      </c>
      <c r="P107" s="88">
        <f t="shared" si="10"/>
        <v>5359.348267</v>
      </c>
      <c r="Q107" s="88">
        <f t="shared" si="10"/>
        <v>3739.407817</v>
      </c>
      <c r="R107" s="88">
        <f t="shared" si="10"/>
        <v>3692.702833</v>
      </c>
      <c r="S107" s="88">
        <f t="shared" si="10"/>
        <v>4649.81195</v>
      </c>
      <c r="T107" s="88">
        <f t="shared" si="10"/>
        <v>3489.080333</v>
      </c>
      <c r="U107" s="88">
        <f t="shared" si="10"/>
        <v>3218.04355</v>
      </c>
      <c r="V107" s="88">
        <f t="shared" si="10"/>
        <v>3708.562067</v>
      </c>
      <c r="W107" s="88">
        <f t="shared" si="10"/>
        <v>3593.517283</v>
      </c>
      <c r="X107" s="88">
        <f t="shared" si="10"/>
        <v>4860.618217</v>
      </c>
      <c r="Y107" s="88">
        <f t="shared" si="10"/>
        <v>3998.74525</v>
      </c>
      <c r="Z107" s="88">
        <f t="shared" si="10"/>
        <v>5378.946383</v>
      </c>
      <c r="AA107" s="88">
        <f t="shared" si="10"/>
        <v>2396.88165</v>
      </c>
      <c r="AB107" s="88">
        <f t="shared" si="10"/>
        <v>2836.325467</v>
      </c>
      <c r="AC107" s="88">
        <f t="shared" si="10"/>
        <v>2503.515817</v>
      </c>
      <c r="AD107" s="88">
        <f t="shared" si="10"/>
        <v>2100.010917</v>
      </c>
      <c r="AE107" s="88">
        <f t="shared" si="10"/>
        <v>2467.64995</v>
      </c>
      <c r="AF107" s="88">
        <f t="shared" si="10"/>
        <v>2912.278483</v>
      </c>
      <c r="AG107" s="88">
        <f t="shared" si="10"/>
        <v>1376.416533</v>
      </c>
      <c r="AH107" s="100" t="s">
        <v>154</v>
      </c>
    </row>
    <row r="108">
      <c r="B108" s="99" t="s">
        <v>155</v>
      </c>
      <c r="C108" s="88">
        <f t="shared" ref="C108:AG108" si="11">SUM(C56 * 1.7 + C72 * 2 + C80 * 2 + C86 * 2 + C89 * 2 + C94 + C99 * 2)</f>
        <v>3404.153933</v>
      </c>
      <c r="D108" s="88">
        <f t="shared" si="11"/>
        <v>3409.806167</v>
      </c>
      <c r="E108" s="88">
        <f t="shared" si="11"/>
        <v>3251.27675</v>
      </c>
      <c r="F108" s="88">
        <f t="shared" si="11"/>
        <v>4329.952017</v>
      </c>
      <c r="G108" s="88">
        <f t="shared" si="11"/>
        <v>5138.125333</v>
      </c>
      <c r="H108" s="88">
        <f t="shared" si="11"/>
        <v>4079.1316</v>
      </c>
      <c r="I108" s="88">
        <f t="shared" si="11"/>
        <v>4280.7533</v>
      </c>
      <c r="J108" s="88">
        <f t="shared" si="11"/>
        <v>4208.373767</v>
      </c>
      <c r="K108" s="88">
        <f t="shared" si="11"/>
        <v>3877.96405</v>
      </c>
      <c r="L108" s="88">
        <f t="shared" si="11"/>
        <v>3328.154133</v>
      </c>
      <c r="M108" s="88">
        <f t="shared" si="11"/>
        <v>3627.8044</v>
      </c>
      <c r="N108" s="88">
        <f t="shared" si="11"/>
        <v>5063.042617</v>
      </c>
      <c r="O108" s="88">
        <f t="shared" si="11"/>
        <v>4694.002883</v>
      </c>
      <c r="P108" s="88">
        <f t="shared" si="11"/>
        <v>6101.628267</v>
      </c>
      <c r="Q108" s="88">
        <f t="shared" si="11"/>
        <v>4375.587817</v>
      </c>
      <c r="R108" s="88">
        <f t="shared" si="11"/>
        <v>4352.782833</v>
      </c>
      <c r="S108" s="88">
        <f t="shared" si="11"/>
        <v>5430.35195</v>
      </c>
      <c r="T108" s="88">
        <f t="shared" si="11"/>
        <v>4085.200333</v>
      </c>
      <c r="U108" s="88">
        <f t="shared" si="11"/>
        <v>3816.12355</v>
      </c>
      <c r="V108" s="88">
        <f t="shared" si="11"/>
        <v>4364.762067</v>
      </c>
      <c r="W108" s="88">
        <f t="shared" si="11"/>
        <v>4196.777283</v>
      </c>
      <c r="X108" s="88">
        <f t="shared" si="11"/>
        <v>5566.698217</v>
      </c>
      <c r="Y108" s="88">
        <f t="shared" si="11"/>
        <v>4643.04525</v>
      </c>
      <c r="Z108" s="88">
        <f t="shared" si="11"/>
        <v>6164.866383</v>
      </c>
      <c r="AA108" s="88">
        <f t="shared" si="11"/>
        <v>2849.26165</v>
      </c>
      <c r="AB108" s="88">
        <f t="shared" si="11"/>
        <v>3336.665467</v>
      </c>
      <c r="AC108" s="88">
        <f t="shared" si="11"/>
        <v>2986.735817</v>
      </c>
      <c r="AD108" s="88">
        <f t="shared" si="11"/>
        <v>2544.950917</v>
      </c>
      <c r="AE108" s="88">
        <f t="shared" si="11"/>
        <v>2950.96995</v>
      </c>
      <c r="AF108" s="88">
        <f t="shared" si="11"/>
        <v>3403.758483</v>
      </c>
      <c r="AG108" s="88">
        <f t="shared" si="11"/>
        <v>1720.316533</v>
      </c>
      <c r="AH108" s="100" t="s">
        <v>155</v>
      </c>
    </row>
    <row r="109">
      <c r="B109" s="101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7"/>
    </row>
    <row r="110">
      <c r="B110" s="76" t="s">
        <v>156</v>
      </c>
      <c r="C110" s="85">
        <v>3255.0</v>
      </c>
      <c r="D110" s="85">
        <v>3240.0</v>
      </c>
      <c r="E110" s="85">
        <v>2810.0</v>
      </c>
      <c r="F110" s="27">
        <v>4505.0</v>
      </c>
      <c r="G110" s="27">
        <v>4320.0</v>
      </c>
      <c r="H110" s="27">
        <v>4385.0</v>
      </c>
      <c r="I110" s="85">
        <v>4380.0</v>
      </c>
      <c r="J110" s="27">
        <v>3960.0</v>
      </c>
      <c r="K110" s="27">
        <v>3620.0</v>
      </c>
      <c r="L110" s="27">
        <v>2930.0</v>
      </c>
      <c r="M110" s="27">
        <v>3840.0</v>
      </c>
      <c r="N110" s="27">
        <v>4680.0</v>
      </c>
      <c r="O110" s="85">
        <v>4500.0</v>
      </c>
      <c r="P110" s="85">
        <v>5365.0</v>
      </c>
      <c r="Q110" s="85">
        <v>4430.0</v>
      </c>
      <c r="R110" s="85">
        <v>4940.0</v>
      </c>
      <c r="S110" s="85">
        <v>6255.0</v>
      </c>
      <c r="T110" s="27">
        <v>4030.0</v>
      </c>
      <c r="U110" s="27">
        <v>3370.0</v>
      </c>
      <c r="V110" s="27">
        <v>3400.0</v>
      </c>
      <c r="W110" s="27">
        <v>3215.0</v>
      </c>
      <c r="X110" s="27">
        <v>5180.0</v>
      </c>
      <c r="Y110" s="27">
        <v>4310.0</v>
      </c>
      <c r="Z110" s="27">
        <v>4455.0</v>
      </c>
      <c r="AA110" s="27">
        <v>1280.0</v>
      </c>
      <c r="AB110" s="27">
        <v>2270.0</v>
      </c>
      <c r="AC110" s="27">
        <v>2015.0</v>
      </c>
      <c r="AD110" s="27">
        <v>1680.0</v>
      </c>
      <c r="AE110" s="27">
        <v>1960.0</v>
      </c>
      <c r="AF110" s="27">
        <v>1920.0</v>
      </c>
      <c r="AG110" s="27">
        <v>960.0</v>
      </c>
      <c r="AH110" s="78" t="s">
        <v>156</v>
      </c>
    </row>
    <row r="111">
      <c r="B111" s="76" t="s">
        <v>157</v>
      </c>
      <c r="C111" s="41">
        <v>5800.0</v>
      </c>
      <c r="D111" s="41">
        <v>5700.0</v>
      </c>
      <c r="E111" s="41">
        <v>5400.0</v>
      </c>
      <c r="F111" s="41">
        <v>7400.0</v>
      </c>
      <c r="G111" s="41">
        <v>7900.0</v>
      </c>
      <c r="H111" s="41">
        <v>7100.0</v>
      </c>
      <c r="I111" s="41">
        <v>6900.0</v>
      </c>
      <c r="J111" s="41">
        <v>6500.0</v>
      </c>
      <c r="K111" s="41">
        <v>6800.0</v>
      </c>
      <c r="L111" s="41">
        <v>6100.0</v>
      </c>
      <c r="M111" s="41">
        <v>6300.0</v>
      </c>
      <c r="N111" s="41">
        <v>9800.0</v>
      </c>
      <c r="O111" s="41">
        <v>9200.0</v>
      </c>
      <c r="P111" s="41">
        <v>10800.0</v>
      </c>
      <c r="Q111" s="41">
        <v>10200.0</v>
      </c>
      <c r="R111" s="41">
        <v>10500.0</v>
      </c>
      <c r="S111" s="41">
        <v>11500.0</v>
      </c>
      <c r="T111" s="41">
        <v>5200.0</v>
      </c>
      <c r="U111" s="41">
        <v>4900.0</v>
      </c>
      <c r="V111" s="41">
        <v>5100.0</v>
      </c>
      <c r="W111" s="41">
        <v>5300.0</v>
      </c>
      <c r="X111" s="41">
        <v>6200.0</v>
      </c>
      <c r="Y111" s="41">
        <v>5800.0</v>
      </c>
      <c r="Z111" s="41">
        <v>5900.0</v>
      </c>
      <c r="AA111" s="41">
        <v>4200.0</v>
      </c>
      <c r="AB111" s="41">
        <v>5800.0</v>
      </c>
      <c r="AC111" s="41">
        <v>5500.0</v>
      </c>
      <c r="AD111" s="41">
        <v>4800.0</v>
      </c>
      <c r="AE111" s="41">
        <v>4800.0</v>
      </c>
      <c r="AF111" s="41">
        <v>3800.0</v>
      </c>
      <c r="AG111" s="41">
        <v>3200.0</v>
      </c>
      <c r="AH111" s="78" t="s">
        <v>157</v>
      </c>
    </row>
    <row r="112">
      <c r="B112" s="101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7"/>
    </row>
    <row r="113">
      <c r="B113" s="102" t="s">
        <v>158</v>
      </c>
      <c r="C113" s="103">
        <f t="shared" ref="C113:AG113" si="12">C110 - C104</f>
        <v>1092.325333</v>
      </c>
      <c r="D113" s="103">
        <f t="shared" si="12"/>
        <v>1089.781667</v>
      </c>
      <c r="E113" s="103">
        <f t="shared" si="12"/>
        <v>726.4625</v>
      </c>
      <c r="F113" s="103">
        <f t="shared" si="12"/>
        <v>1689.646167</v>
      </c>
      <c r="G113" s="103">
        <f t="shared" si="12"/>
        <v>743.1533333</v>
      </c>
      <c r="H113" s="103">
        <f t="shared" si="12"/>
        <v>1610.947</v>
      </c>
      <c r="I113" s="103">
        <f t="shared" si="12"/>
        <v>1527.511</v>
      </c>
      <c r="J113" s="103">
        <f t="shared" si="12"/>
        <v>1181.763667</v>
      </c>
      <c r="K113" s="103">
        <f t="shared" si="12"/>
        <v>1090.9135</v>
      </c>
      <c r="L113" s="103">
        <f t="shared" si="12"/>
        <v>812.2593333</v>
      </c>
      <c r="M113" s="103">
        <f t="shared" si="12"/>
        <v>1505.693</v>
      </c>
      <c r="N113" s="103">
        <f t="shared" si="12"/>
        <v>1190.538167</v>
      </c>
      <c r="O113" s="103">
        <f t="shared" si="12"/>
        <v>1479.151833</v>
      </c>
      <c r="P113" s="103">
        <f t="shared" si="12"/>
        <v>962.3986667</v>
      </c>
      <c r="Q113" s="103">
        <f t="shared" si="12"/>
        <v>1627.667167</v>
      </c>
      <c r="R113" s="103">
        <f t="shared" si="12"/>
        <v>2055.073333</v>
      </c>
      <c r="S113" s="103">
        <f t="shared" si="12"/>
        <v>2678.8665</v>
      </c>
      <c r="T113" s="103">
        <f t="shared" si="12"/>
        <v>1530.753333</v>
      </c>
      <c r="U113" s="103">
        <f t="shared" si="12"/>
        <v>1120.1785</v>
      </c>
      <c r="V113" s="103">
        <f t="shared" si="12"/>
        <v>726.6996667</v>
      </c>
      <c r="W113" s="103">
        <f t="shared" si="12"/>
        <v>493.6348333</v>
      </c>
      <c r="X113" s="103">
        <f t="shared" si="12"/>
        <v>1394.845167</v>
      </c>
      <c r="Y113" s="103">
        <f t="shared" si="12"/>
        <v>1352.6125</v>
      </c>
      <c r="Z113" s="103">
        <f t="shared" si="12"/>
        <v>686.9968333</v>
      </c>
      <c r="AA113" s="103">
        <f t="shared" si="12"/>
        <v>-407.2745</v>
      </c>
      <c r="AB113" s="103">
        <f t="shared" si="12"/>
        <v>201.4826667</v>
      </c>
      <c r="AC113" s="103">
        <f t="shared" si="12"/>
        <v>243.2321667</v>
      </c>
      <c r="AD113" s="103">
        <f t="shared" si="12"/>
        <v>281.0391667</v>
      </c>
      <c r="AE113" s="103">
        <f t="shared" si="12"/>
        <v>190.5465</v>
      </c>
      <c r="AF113" s="103">
        <f t="shared" si="12"/>
        <v>-367.0961667</v>
      </c>
      <c r="AG113" s="103">
        <f t="shared" si="12"/>
        <v>-55.95266667</v>
      </c>
      <c r="AH113" s="104" t="s">
        <v>158</v>
      </c>
    </row>
    <row r="114">
      <c r="B114" s="105" t="s">
        <v>159</v>
      </c>
      <c r="C114" s="103">
        <f t="shared" ref="C114:AG114" si="13">C111 - C104</f>
        <v>3637.325333</v>
      </c>
      <c r="D114" s="103">
        <f t="shared" si="13"/>
        <v>3549.781667</v>
      </c>
      <c r="E114" s="103">
        <f t="shared" si="13"/>
        <v>3316.4625</v>
      </c>
      <c r="F114" s="103">
        <f t="shared" si="13"/>
        <v>4584.646167</v>
      </c>
      <c r="G114" s="103">
        <f t="shared" si="13"/>
        <v>4323.153333</v>
      </c>
      <c r="H114" s="103">
        <f t="shared" si="13"/>
        <v>4325.947</v>
      </c>
      <c r="I114" s="103">
        <f t="shared" si="13"/>
        <v>4047.511</v>
      </c>
      <c r="J114" s="103">
        <f t="shared" si="13"/>
        <v>3721.763667</v>
      </c>
      <c r="K114" s="103">
        <f t="shared" si="13"/>
        <v>4270.9135</v>
      </c>
      <c r="L114" s="103">
        <f t="shared" si="13"/>
        <v>3982.259333</v>
      </c>
      <c r="M114" s="103">
        <f t="shared" si="13"/>
        <v>3965.693</v>
      </c>
      <c r="N114" s="103">
        <f t="shared" si="13"/>
        <v>6310.538167</v>
      </c>
      <c r="O114" s="103">
        <f t="shared" si="13"/>
        <v>6179.151833</v>
      </c>
      <c r="P114" s="103">
        <f t="shared" si="13"/>
        <v>6397.398667</v>
      </c>
      <c r="Q114" s="103">
        <f t="shared" si="13"/>
        <v>7397.667167</v>
      </c>
      <c r="R114" s="103">
        <f t="shared" si="13"/>
        <v>7615.073333</v>
      </c>
      <c r="S114" s="103">
        <f t="shared" si="13"/>
        <v>7923.8665</v>
      </c>
      <c r="T114" s="103">
        <f t="shared" si="13"/>
        <v>2700.753333</v>
      </c>
      <c r="U114" s="103">
        <f t="shared" si="13"/>
        <v>2650.1785</v>
      </c>
      <c r="V114" s="103">
        <f t="shared" si="13"/>
        <v>2426.699667</v>
      </c>
      <c r="W114" s="103">
        <f t="shared" si="13"/>
        <v>2578.634833</v>
      </c>
      <c r="X114" s="103">
        <f t="shared" si="13"/>
        <v>2414.845167</v>
      </c>
      <c r="Y114" s="103">
        <f t="shared" si="13"/>
        <v>2842.6125</v>
      </c>
      <c r="Z114" s="103">
        <f t="shared" si="13"/>
        <v>2131.996833</v>
      </c>
      <c r="AA114" s="103">
        <f t="shared" si="13"/>
        <v>2512.7255</v>
      </c>
      <c r="AB114" s="103">
        <f t="shared" si="13"/>
        <v>3731.482667</v>
      </c>
      <c r="AC114" s="103">
        <f t="shared" si="13"/>
        <v>3728.232167</v>
      </c>
      <c r="AD114" s="103">
        <f t="shared" si="13"/>
        <v>3401.039167</v>
      </c>
      <c r="AE114" s="103">
        <f t="shared" si="13"/>
        <v>3030.5465</v>
      </c>
      <c r="AF114" s="103">
        <f t="shared" si="13"/>
        <v>1512.903833</v>
      </c>
      <c r="AG114" s="103">
        <f t="shared" si="13"/>
        <v>2184.047333</v>
      </c>
      <c r="AH114" s="106" t="s">
        <v>159</v>
      </c>
    </row>
    <row r="115">
      <c r="B115" s="102" t="s">
        <v>160</v>
      </c>
      <c r="C115" s="103">
        <f t="shared" ref="C115:AG115" si="14">C110 - C105</f>
        <v>854.1253333</v>
      </c>
      <c r="D115" s="103">
        <f t="shared" si="14"/>
        <v>846.7316667</v>
      </c>
      <c r="E115" s="103">
        <f t="shared" si="14"/>
        <v>506.0625</v>
      </c>
      <c r="F115" s="103">
        <f t="shared" si="14"/>
        <v>1404.626167</v>
      </c>
      <c r="G115" s="103">
        <f t="shared" si="14"/>
        <v>422.8033333</v>
      </c>
      <c r="H115" s="103">
        <f t="shared" si="14"/>
        <v>1311.837</v>
      </c>
      <c r="I115" s="103">
        <f t="shared" si="14"/>
        <v>1237.751</v>
      </c>
      <c r="J115" s="103">
        <f t="shared" si="14"/>
        <v>890.9436667</v>
      </c>
      <c r="K115" s="103">
        <f t="shared" si="14"/>
        <v>806.8735</v>
      </c>
      <c r="L115" s="103">
        <f t="shared" si="14"/>
        <v>552.7893333</v>
      </c>
      <c r="M115" s="103">
        <f t="shared" si="14"/>
        <v>1231.223</v>
      </c>
      <c r="N115" s="103">
        <f t="shared" si="14"/>
        <v>842.3781667</v>
      </c>
      <c r="O115" s="103">
        <f t="shared" si="14"/>
        <v>1127.321833</v>
      </c>
      <c r="P115" s="103">
        <f t="shared" si="14"/>
        <v>591.2586667</v>
      </c>
      <c r="Q115" s="103">
        <f t="shared" si="14"/>
        <v>1309.577167</v>
      </c>
      <c r="R115" s="103">
        <f t="shared" si="14"/>
        <v>1725.033333</v>
      </c>
      <c r="S115" s="103">
        <f t="shared" si="14"/>
        <v>2288.5965</v>
      </c>
      <c r="T115" s="103">
        <f t="shared" si="14"/>
        <v>1232.693333</v>
      </c>
      <c r="U115" s="103">
        <f t="shared" si="14"/>
        <v>821.1385</v>
      </c>
      <c r="V115" s="103">
        <f t="shared" si="14"/>
        <v>398.5996667</v>
      </c>
      <c r="W115" s="103">
        <f t="shared" si="14"/>
        <v>192.0048333</v>
      </c>
      <c r="X115" s="103">
        <f t="shared" si="14"/>
        <v>1041.805167</v>
      </c>
      <c r="Y115" s="103">
        <f t="shared" si="14"/>
        <v>1030.4625</v>
      </c>
      <c r="Z115" s="103">
        <f t="shared" si="14"/>
        <v>294.0368333</v>
      </c>
      <c r="AA115" s="103">
        <f t="shared" si="14"/>
        <v>-633.4645</v>
      </c>
      <c r="AB115" s="103">
        <f t="shared" si="14"/>
        <v>-48.68733333</v>
      </c>
      <c r="AC115" s="103">
        <f t="shared" si="14"/>
        <v>1.622166667</v>
      </c>
      <c r="AD115" s="103">
        <f t="shared" si="14"/>
        <v>58.56916667</v>
      </c>
      <c r="AE115" s="103">
        <f t="shared" si="14"/>
        <v>-51.1135</v>
      </c>
      <c r="AF115" s="103">
        <f t="shared" si="14"/>
        <v>-612.8361667</v>
      </c>
      <c r="AG115" s="103">
        <f t="shared" si="14"/>
        <v>-227.9026667</v>
      </c>
      <c r="AH115" s="104" t="s">
        <v>160</v>
      </c>
    </row>
    <row r="116">
      <c r="B116" s="105" t="s">
        <v>161</v>
      </c>
      <c r="C116" s="103">
        <f t="shared" ref="C116:AG116" si="15">C111 - C105</f>
        <v>3399.125333</v>
      </c>
      <c r="D116" s="103">
        <f t="shared" si="15"/>
        <v>3306.731667</v>
      </c>
      <c r="E116" s="103">
        <f t="shared" si="15"/>
        <v>3096.0625</v>
      </c>
      <c r="F116" s="103">
        <f t="shared" si="15"/>
        <v>4299.626167</v>
      </c>
      <c r="G116" s="103">
        <f t="shared" si="15"/>
        <v>4002.803333</v>
      </c>
      <c r="H116" s="103">
        <f t="shared" si="15"/>
        <v>4026.837</v>
      </c>
      <c r="I116" s="103">
        <f t="shared" si="15"/>
        <v>3757.751</v>
      </c>
      <c r="J116" s="103">
        <f t="shared" si="15"/>
        <v>3430.943667</v>
      </c>
      <c r="K116" s="103">
        <f t="shared" si="15"/>
        <v>3986.8735</v>
      </c>
      <c r="L116" s="103">
        <f t="shared" si="15"/>
        <v>3722.789333</v>
      </c>
      <c r="M116" s="103">
        <f t="shared" si="15"/>
        <v>3691.223</v>
      </c>
      <c r="N116" s="103">
        <f t="shared" si="15"/>
        <v>5962.378167</v>
      </c>
      <c r="O116" s="103">
        <f t="shared" si="15"/>
        <v>5827.321833</v>
      </c>
      <c r="P116" s="103">
        <f t="shared" si="15"/>
        <v>6026.258667</v>
      </c>
      <c r="Q116" s="103">
        <f t="shared" si="15"/>
        <v>7079.577167</v>
      </c>
      <c r="R116" s="103">
        <f t="shared" si="15"/>
        <v>7285.033333</v>
      </c>
      <c r="S116" s="103">
        <f t="shared" si="15"/>
        <v>7533.5965</v>
      </c>
      <c r="T116" s="103">
        <f t="shared" si="15"/>
        <v>2402.693333</v>
      </c>
      <c r="U116" s="103">
        <f t="shared" si="15"/>
        <v>2351.1385</v>
      </c>
      <c r="V116" s="103">
        <f t="shared" si="15"/>
        <v>2098.599667</v>
      </c>
      <c r="W116" s="103">
        <f t="shared" si="15"/>
        <v>2277.004833</v>
      </c>
      <c r="X116" s="103">
        <f t="shared" si="15"/>
        <v>2061.805167</v>
      </c>
      <c r="Y116" s="103">
        <f t="shared" si="15"/>
        <v>2520.4625</v>
      </c>
      <c r="Z116" s="103">
        <f t="shared" si="15"/>
        <v>1739.036833</v>
      </c>
      <c r="AA116" s="103">
        <f t="shared" si="15"/>
        <v>2286.5355</v>
      </c>
      <c r="AB116" s="103">
        <f t="shared" si="15"/>
        <v>3481.312667</v>
      </c>
      <c r="AC116" s="103">
        <f t="shared" si="15"/>
        <v>3486.622167</v>
      </c>
      <c r="AD116" s="103">
        <f t="shared" si="15"/>
        <v>3178.569167</v>
      </c>
      <c r="AE116" s="103">
        <f t="shared" si="15"/>
        <v>2788.8865</v>
      </c>
      <c r="AF116" s="103">
        <f t="shared" si="15"/>
        <v>1267.163833</v>
      </c>
      <c r="AG116" s="103">
        <f t="shared" si="15"/>
        <v>2012.097333</v>
      </c>
      <c r="AH116" s="106" t="s">
        <v>161</v>
      </c>
    </row>
    <row r="117">
      <c r="B117" s="102" t="s">
        <v>162</v>
      </c>
      <c r="C117" s="103">
        <f t="shared" ref="C117:AG117" si="16">C111 - C107</f>
        <v>2872.246067</v>
      </c>
      <c r="D117" s="103">
        <f t="shared" si="16"/>
        <v>2776.293833</v>
      </c>
      <c r="E117" s="103">
        <f t="shared" si="16"/>
        <v>2589.52325</v>
      </c>
      <c r="F117" s="103">
        <f t="shared" si="16"/>
        <v>3640.087983</v>
      </c>
      <c r="G117" s="103">
        <f t="shared" si="16"/>
        <v>3402.574667</v>
      </c>
      <c r="H117" s="103">
        <f t="shared" si="16"/>
        <v>3619.0884</v>
      </c>
      <c r="I117" s="103">
        <f t="shared" si="16"/>
        <v>3198.7667</v>
      </c>
      <c r="J117" s="103">
        <f t="shared" si="16"/>
        <v>2873.266233</v>
      </c>
      <c r="K117" s="103">
        <f t="shared" si="16"/>
        <v>3490.11595</v>
      </c>
      <c r="L117" s="103">
        <f t="shared" si="16"/>
        <v>3290.785867</v>
      </c>
      <c r="M117" s="103">
        <f t="shared" si="16"/>
        <v>3221.1356</v>
      </c>
      <c r="N117" s="103">
        <f t="shared" si="16"/>
        <v>5433.277383</v>
      </c>
      <c r="O117" s="103">
        <f t="shared" si="16"/>
        <v>5209.657117</v>
      </c>
      <c r="P117" s="103">
        <f t="shared" si="16"/>
        <v>5440.651733</v>
      </c>
      <c r="Q117" s="103">
        <f t="shared" si="16"/>
        <v>6460.592183</v>
      </c>
      <c r="R117" s="103">
        <f t="shared" si="16"/>
        <v>6807.297167</v>
      </c>
      <c r="S117" s="103">
        <f t="shared" si="16"/>
        <v>6850.18805</v>
      </c>
      <c r="T117" s="103">
        <f t="shared" si="16"/>
        <v>1710.919667</v>
      </c>
      <c r="U117" s="103">
        <f t="shared" si="16"/>
        <v>1681.95645</v>
      </c>
      <c r="V117" s="103">
        <f t="shared" si="16"/>
        <v>1391.437933</v>
      </c>
      <c r="W117" s="103">
        <f t="shared" si="16"/>
        <v>1706.482717</v>
      </c>
      <c r="X117" s="103">
        <f t="shared" si="16"/>
        <v>1339.381783</v>
      </c>
      <c r="Y117" s="103">
        <f t="shared" si="16"/>
        <v>1801.25475</v>
      </c>
      <c r="Z117" s="103">
        <f t="shared" si="16"/>
        <v>521.0536167</v>
      </c>
      <c r="AA117" s="103">
        <f t="shared" si="16"/>
        <v>1803.11835</v>
      </c>
      <c r="AB117" s="103">
        <f t="shared" si="16"/>
        <v>2963.674533</v>
      </c>
      <c r="AC117" s="103">
        <f t="shared" si="16"/>
        <v>2996.484183</v>
      </c>
      <c r="AD117" s="103">
        <f t="shared" si="16"/>
        <v>2699.989083</v>
      </c>
      <c r="AE117" s="103">
        <f t="shared" si="16"/>
        <v>2332.35005</v>
      </c>
      <c r="AF117" s="103">
        <f t="shared" si="16"/>
        <v>887.7215167</v>
      </c>
      <c r="AG117" s="103">
        <f t="shared" si="16"/>
        <v>1823.583467</v>
      </c>
      <c r="AH117" s="104" t="s">
        <v>162</v>
      </c>
    </row>
    <row r="118">
      <c r="B118" s="105" t="s">
        <v>163</v>
      </c>
      <c r="C118" s="103">
        <f t="shared" ref="C118:AG118" si="17">C111 - C107 + C111 * 0.6</f>
        <v>6352.246067</v>
      </c>
      <c r="D118" s="103">
        <f t="shared" si="17"/>
        <v>6196.293833</v>
      </c>
      <c r="E118" s="103">
        <f t="shared" si="17"/>
        <v>5829.52325</v>
      </c>
      <c r="F118" s="103">
        <f t="shared" si="17"/>
        <v>8080.087983</v>
      </c>
      <c r="G118" s="103">
        <f t="shared" si="17"/>
        <v>8142.574667</v>
      </c>
      <c r="H118" s="103">
        <f t="shared" si="17"/>
        <v>7879.0884</v>
      </c>
      <c r="I118" s="103">
        <f t="shared" si="17"/>
        <v>7338.7667</v>
      </c>
      <c r="J118" s="103">
        <f t="shared" si="17"/>
        <v>6773.266233</v>
      </c>
      <c r="K118" s="103">
        <f t="shared" si="17"/>
        <v>7570.11595</v>
      </c>
      <c r="L118" s="103">
        <f t="shared" si="17"/>
        <v>6950.785867</v>
      </c>
      <c r="M118" s="103">
        <f t="shared" si="17"/>
        <v>7001.1356</v>
      </c>
      <c r="N118" s="103">
        <f t="shared" si="17"/>
        <v>11313.27738</v>
      </c>
      <c r="O118" s="103">
        <f t="shared" si="17"/>
        <v>10729.65712</v>
      </c>
      <c r="P118" s="103">
        <f t="shared" si="17"/>
        <v>11920.65173</v>
      </c>
      <c r="Q118" s="103">
        <f t="shared" si="17"/>
        <v>12580.59218</v>
      </c>
      <c r="R118" s="103">
        <f t="shared" si="17"/>
        <v>13107.29717</v>
      </c>
      <c r="S118" s="103">
        <f t="shared" si="17"/>
        <v>13750.18805</v>
      </c>
      <c r="T118" s="103">
        <f t="shared" si="17"/>
        <v>4830.919667</v>
      </c>
      <c r="U118" s="103">
        <f t="shared" si="17"/>
        <v>4621.95645</v>
      </c>
      <c r="V118" s="103">
        <f t="shared" si="17"/>
        <v>4451.437933</v>
      </c>
      <c r="W118" s="103">
        <f t="shared" si="17"/>
        <v>4886.482717</v>
      </c>
      <c r="X118" s="103">
        <f t="shared" si="17"/>
        <v>5059.381783</v>
      </c>
      <c r="Y118" s="103">
        <f t="shared" si="17"/>
        <v>5281.25475</v>
      </c>
      <c r="Z118" s="103">
        <f t="shared" si="17"/>
        <v>4061.053617</v>
      </c>
      <c r="AA118" s="103">
        <f t="shared" si="17"/>
        <v>4323.11835</v>
      </c>
      <c r="AB118" s="103">
        <f t="shared" si="17"/>
        <v>6443.674533</v>
      </c>
      <c r="AC118" s="103">
        <f t="shared" si="17"/>
        <v>6296.484183</v>
      </c>
      <c r="AD118" s="103">
        <f t="shared" si="17"/>
        <v>5579.989083</v>
      </c>
      <c r="AE118" s="103">
        <f t="shared" si="17"/>
        <v>5212.35005</v>
      </c>
      <c r="AF118" s="103">
        <f t="shared" si="17"/>
        <v>3167.721517</v>
      </c>
      <c r="AG118" s="103">
        <f t="shared" si="17"/>
        <v>3743.583467</v>
      </c>
      <c r="AH118" s="106" t="s">
        <v>163</v>
      </c>
    </row>
    <row r="119">
      <c r="B119" s="102" t="s">
        <v>164</v>
      </c>
      <c r="C119" s="103">
        <f t="shared" ref="C119:AG119" si="18">C111 - C108</f>
        <v>2395.846067</v>
      </c>
      <c r="D119" s="103">
        <f t="shared" si="18"/>
        <v>2290.193833</v>
      </c>
      <c r="E119" s="103">
        <f t="shared" si="18"/>
        <v>2148.72325</v>
      </c>
      <c r="F119" s="103">
        <f t="shared" si="18"/>
        <v>3070.047983</v>
      </c>
      <c r="G119" s="103">
        <f t="shared" si="18"/>
        <v>2761.874667</v>
      </c>
      <c r="H119" s="103">
        <f t="shared" si="18"/>
        <v>3020.8684</v>
      </c>
      <c r="I119" s="103">
        <f t="shared" si="18"/>
        <v>2619.2467</v>
      </c>
      <c r="J119" s="103">
        <f t="shared" si="18"/>
        <v>2291.626233</v>
      </c>
      <c r="K119" s="103">
        <f t="shared" si="18"/>
        <v>2922.03595</v>
      </c>
      <c r="L119" s="103">
        <f t="shared" si="18"/>
        <v>2771.845867</v>
      </c>
      <c r="M119" s="103">
        <f t="shared" si="18"/>
        <v>2672.1956</v>
      </c>
      <c r="N119" s="103">
        <f t="shared" si="18"/>
        <v>4736.957383</v>
      </c>
      <c r="O119" s="103">
        <f t="shared" si="18"/>
        <v>4505.997117</v>
      </c>
      <c r="P119" s="103">
        <f t="shared" si="18"/>
        <v>4698.371733</v>
      </c>
      <c r="Q119" s="103">
        <f t="shared" si="18"/>
        <v>5824.412183</v>
      </c>
      <c r="R119" s="103">
        <f t="shared" si="18"/>
        <v>6147.217167</v>
      </c>
      <c r="S119" s="103">
        <f t="shared" si="18"/>
        <v>6069.64805</v>
      </c>
      <c r="T119" s="103">
        <f t="shared" si="18"/>
        <v>1114.799667</v>
      </c>
      <c r="U119" s="103">
        <f t="shared" si="18"/>
        <v>1083.87645</v>
      </c>
      <c r="V119" s="103">
        <f t="shared" si="18"/>
        <v>735.2379333</v>
      </c>
      <c r="W119" s="103">
        <f t="shared" si="18"/>
        <v>1103.222717</v>
      </c>
      <c r="X119" s="103">
        <f t="shared" si="18"/>
        <v>633.3017833</v>
      </c>
      <c r="Y119" s="103">
        <f t="shared" si="18"/>
        <v>1156.95475</v>
      </c>
      <c r="Z119" s="103">
        <f t="shared" si="18"/>
        <v>-264.8663833</v>
      </c>
      <c r="AA119" s="103">
        <f t="shared" si="18"/>
        <v>1350.73835</v>
      </c>
      <c r="AB119" s="103">
        <f t="shared" si="18"/>
        <v>2463.334533</v>
      </c>
      <c r="AC119" s="103">
        <f t="shared" si="18"/>
        <v>2513.264183</v>
      </c>
      <c r="AD119" s="103">
        <f t="shared" si="18"/>
        <v>2255.049083</v>
      </c>
      <c r="AE119" s="103">
        <f t="shared" si="18"/>
        <v>1849.03005</v>
      </c>
      <c r="AF119" s="103">
        <f t="shared" si="18"/>
        <v>396.2415167</v>
      </c>
      <c r="AG119" s="103">
        <f t="shared" si="18"/>
        <v>1479.683467</v>
      </c>
      <c r="AH119" s="104" t="s">
        <v>162</v>
      </c>
    </row>
    <row r="120">
      <c r="B120" s="105" t="s">
        <v>165</v>
      </c>
      <c r="C120" s="103">
        <f t="shared" ref="C120:AG120" si="19">C111 - C108 + C111 * 0.6</f>
        <v>5875.846067</v>
      </c>
      <c r="D120" s="103">
        <f t="shared" si="19"/>
        <v>5710.193833</v>
      </c>
      <c r="E120" s="103">
        <f t="shared" si="19"/>
        <v>5388.72325</v>
      </c>
      <c r="F120" s="103">
        <f t="shared" si="19"/>
        <v>7510.047983</v>
      </c>
      <c r="G120" s="103">
        <f t="shared" si="19"/>
        <v>7501.874667</v>
      </c>
      <c r="H120" s="103">
        <f t="shared" si="19"/>
        <v>7280.8684</v>
      </c>
      <c r="I120" s="103">
        <f t="shared" si="19"/>
        <v>6759.2467</v>
      </c>
      <c r="J120" s="103">
        <f t="shared" si="19"/>
        <v>6191.626233</v>
      </c>
      <c r="K120" s="103">
        <f t="shared" si="19"/>
        <v>7002.03595</v>
      </c>
      <c r="L120" s="103">
        <f t="shared" si="19"/>
        <v>6431.845867</v>
      </c>
      <c r="M120" s="103">
        <f t="shared" si="19"/>
        <v>6452.1956</v>
      </c>
      <c r="N120" s="103">
        <f t="shared" si="19"/>
        <v>10616.95738</v>
      </c>
      <c r="O120" s="103">
        <f t="shared" si="19"/>
        <v>10025.99712</v>
      </c>
      <c r="P120" s="103">
        <f t="shared" si="19"/>
        <v>11178.37173</v>
      </c>
      <c r="Q120" s="103">
        <f t="shared" si="19"/>
        <v>11944.41218</v>
      </c>
      <c r="R120" s="103">
        <f t="shared" si="19"/>
        <v>12447.21717</v>
      </c>
      <c r="S120" s="103">
        <f t="shared" si="19"/>
        <v>12969.64805</v>
      </c>
      <c r="T120" s="103">
        <f t="shared" si="19"/>
        <v>4234.799667</v>
      </c>
      <c r="U120" s="103">
        <f t="shared" si="19"/>
        <v>4023.87645</v>
      </c>
      <c r="V120" s="103">
        <f t="shared" si="19"/>
        <v>3795.237933</v>
      </c>
      <c r="W120" s="103">
        <f t="shared" si="19"/>
        <v>4283.222717</v>
      </c>
      <c r="X120" s="103">
        <f t="shared" si="19"/>
        <v>4353.301783</v>
      </c>
      <c r="Y120" s="103">
        <f t="shared" si="19"/>
        <v>4636.95475</v>
      </c>
      <c r="Z120" s="103">
        <f t="shared" si="19"/>
        <v>3275.133617</v>
      </c>
      <c r="AA120" s="103">
        <f t="shared" si="19"/>
        <v>3870.73835</v>
      </c>
      <c r="AB120" s="103">
        <f t="shared" si="19"/>
        <v>5943.334533</v>
      </c>
      <c r="AC120" s="103">
        <f t="shared" si="19"/>
        <v>5813.264183</v>
      </c>
      <c r="AD120" s="103">
        <f t="shared" si="19"/>
        <v>5135.049083</v>
      </c>
      <c r="AE120" s="103">
        <f t="shared" si="19"/>
        <v>4729.03005</v>
      </c>
      <c r="AF120" s="103">
        <f t="shared" si="19"/>
        <v>2676.241517</v>
      </c>
      <c r="AG120" s="103">
        <f t="shared" si="19"/>
        <v>3399.683467</v>
      </c>
      <c r="AH120" s="106" t="s">
        <v>163</v>
      </c>
    </row>
    <row r="121">
      <c r="B121" s="107"/>
      <c r="C121" s="108"/>
      <c r="D121" s="108"/>
      <c r="E121" s="108"/>
      <c r="F121" s="108"/>
      <c r="G121" s="108"/>
      <c r="H121" s="108"/>
      <c r="I121" s="108"/>
      <c r="J121" s="108"/>
      <c r="K121" s="108"/>
      <c r="L121" s="108"/>
      <c r="M121" s="108"/>
      <c r="N121" s="108"/>
      <c r="O121" s="108"/>
      <c r="P121" s="108"/>
      <c r="Q121" s="108"/>
      <c r="R121" s="108"/>
      <c r="S121" s="108"/>
      <c r="T121" s="108"/>
      <c r="U121" s="108"/>
      <c r="V121" s="108"/>
      <c r="W121" s="108"/>
      <c r="X121" s="108"/>
      <c r="Y121" s="108"/>
      <c r="Z121" s="108"/>
      <c r="AA121" s="108"/>
      <c r="AB121" s="108"/>
      <c r="AC121" s="108"/>
      <c r="AD121" s="108"/>
      <c r="AE121" s="108"/>
      <c r="AF121" s="108"/>
      <c r="AG121" s="108"/>
      <c r="AH121" s="109"/>
    </row>
    <row r="122">
      <c r="B122" s="110"/>
      <c r="C122" s="111"/>
      <c r="D122" s="111"/>
      <c r="E122" s="111"/>
      <c r="F122" s="111"/>
      <c r="G122" s="111"/>
      <c r="H122" s="111"/>
      <c r="I122" s="111"/>
      <c r="J122" s="111"/>
      <c r="K122" s="111"/>
      <c r="L122" s="111"/>
      <c r="M122" s="111"/>
      <c r="N122" s="111"/>
      <c r="O122" s="111"/>
      <c r="P122" s="111"/>
      <c r="Q122" s="111"/>
      <c r="R122" s="111"/>
      <c r="S122" s="111"/>
      <c r="T122" s="111"/>
      <c r="U122" s="111"/>
      <c r="V122" s="111"/>
      <c r="W122" s="111"/>
      <c r="X122" s="111"/>
      <c r="Y122" s="111"/>
      <c r="Z122" s="111"/>
      <c r="AA122" s="111"/>
      <c r="AB122" s="111"/>
      <c r="AC122" s="111"/>
      <c r="AD122" s="111"/>
      <c r="AE122" s="111"/>
      <c r="AF122" s="111"/>
      <c r="AG122" s="111"/>
      <c r="AH122" s="112"/>
    </row>
    <row r="123">
      <c r="B123" s="113" t="s">
        <v>166</v>
      </c>
      <c r="C123" s="81">
        <f t="shared" ref="C123:AG123" si="20">C125 * 80</f>
        <v>655200</v>
      </c>
      <c r="D123" s="81">
        <f t="shared" si="20"/>
        <v>544800</v>
      </c>
      <c r="E123" s="81">
        <f t="shared" si="20"/>
        <v>399200</v>
      </c>
      <c r="F123" s="81">
        <f t="shared" si="20"/>
        <v>601600</v>
      </c>
      <c r="G123" s="81">
        <f t="shared" si="20"/>
        <v>944000</v>
      </c>
      <c r="H123" s="81">
        <f t="shared" si="20"/>
        <v>679200</v>
      </c>
      <c r="I123" s="81">
        <f t="shared" si="20"/>
        <v>561600</v>
      </c>
      <c r="J123" s="81">
        <f t="shared" si="20"/>
        <v>777600</v>
      </c>
      <c r="K123" s="81">
        <f t="shared" si="20"/>
        <v>680800</v>
      </c>
      <c r="L123" s="81">
        <f t="shared" si="20"/>
        <v>401200</v>
      </c>
      <c r="M123" s="81">
        <f t="shared" si="20"/>
        <v>355200</v>
      </c>
      <c r="N123" s="81">
        <f t="shared" si="20"/>
        <v>325600</v>
      </c>
      <c r="O123" s="81">
        <f t="shared" si="20"/>
        <v>327200</v>
      </c>
      <c r="P123" s="81">
        <f t="shared" si="20"/>
        <v>646400</v>
      </c>
      <c r="Q123" s="81">
        <f t="shared" si="20"/>
        <v>732800</v>
      </c>
      <c r="R123" s="81">
        <f t="shared" si="20"/>
        <v>580800</v>
      </c>
      <c r="S123" s="81">
        <f t="shared" si="20"/>
        <v>629600</v>
      </c>
      <c r="T123" s="81">
        <f t="shared" si="20"/>
        <v>443200</v>
      </c>
      <c r="U123" s="81">
        <f t="shared" si="20"/>
        <v>310400</v>
      </c>
      <c r="V123" s="81">
        <f t="shared" si="20"/>
        <v>482400</v>
      </c>
      <c r="W123" s="81">
        <f t="shared" si="20"/>
        <v>405600</v>
      </c>
      <c r="X123" s="81">
        <f t="shared" si="20"/>
        <v>891200</v>
      </c>
      <c r="Y123" s="81">
        <f t="shared" si="20"/>
        <v>488800</v>
      </c>
      <c r="Z123" s="81">
        <f t="shared" si="20"/>
        <v>947200</v>
      </c>
      <c r="AA123" s="81">
        <f t="shared" si="20"/>
        <v>415600</v>
      </c>
      <c r="AB123" s="81">
        <f t="shared" si="20"/>
        <v>511600</v>
      </c>
      <c r="AC123" s="81">
        <f t="shared" si="20"/>
        <v>478000</v>
      </c>
      <c r="AD123" s="81">
        <f t="shared" si="20"/>
        <v>265600</v>
      </c>
      <c r="AE123" s="81">
        <f t="shared" si="20"/>
        <v>470400</v>
      </c>
      <c r="AF123" s="81">
        <f t="shared" si="20"/>
        <v>948400</v>
      </c>
      <c r="AG123" s="81">
        <f t="shared" si="20"/>
        <v>188000</v>
      </c>
      <c r="AH123" s="114" t="s">
        <v>166</v>
      </c>
    </row>
    <row r="124">
      <c r="B124" s="113" t="s">
        <v>167</v>
      </c>
      <c r="C124" s="81">
        <f t="shared" ref="C124:AG124" si="21">C126 * 80</f>
        <v>438400</v>
      </c>
      <c r="D124" s="81">
        <f t="shared" si="21"/>
        <v>314000</v>
      </c>
      <c r="E124" s="81">
        <f t="shared" si="21"/>
        <v>216000</v>
      </c>
      <c r="F124" s="81">
        <f t="shared" si="21"/>
        <v>527200</v>
      </c>
      <c r="G124" s="81">
        <f t="shared" si="21"/>
        <v>597600</v>
      </c>
      <c r="H124" s="81">
        <f t="shared" si="21"/>
        <v>453600</v>
      </c>
      <c r="I124" s="81">
        <f t="shared" si="21"/>
        <v>430400</v>
      </c>
      <c r="J124" s="81">
        <f t="shared" si="21"/>
        <v>528000</v>
      </c>
      <c r="K124" s="81">
        <f t="shared" si="21"/>
        <v>549600</v>
      </c>
      <c r="L124" s="81">
        <f t="shared" si="21"/>
        <v>309600</v>
      </c>
      <c r="M124" s="81">
        <f t="shared" si="21"/>
        <v>349600</v>
      </c>
      <c r="N124" s="81">
        <f t="shared" si="21"/>
        <v>213600</v>
      </c>
      <c r="O124" s="81">
        <f t="shared" si="21"/>
        <v>149600</v>
      </c>
      <c r="P124" s="81">
        <f t="shared" si="21"/>
        <v>528800</v>
      </c>
      <c r="Q124" s="81">
        <f t="shared" si="21"/>
        <v>257200</v>
      </c>
      <c r="R124" s="81">
        <f t="shared" si="21"/>
        <v>259200</v>
      </c>
      <c r="S124" s="81">
        <f t="shared" si="21"/>
        <v>424000</v>
      </c>
      <c r="T124" s="81">
        <f t="shared" si="21"/>
        <v>341600</v>
      </c>
      <c r="U124" s="81">
        <f t="shared" si="21"/>
        <v>213600</v>
      </c>
      <c r="V124" s="81">
        <f t="shared" si="21"/>
        <v>446400</v>
      </c>
      <c r="W124" s="81">
        <f t="shared" si="21"/>
        <v>376400</v>
      </c>
      <c r="X124" s="81">
        <f t="shared" si="21"/>
        <v>591200</v>
      </c>
      <c r="Y124" s="81">
        <f t="shared" si="21"/>
        <v>335200</v>
      </c>
      <c r="Z124" s="81">
        <f t="shared" si="21"/>
        <v>596000</v>
      </c>
      <c r="AA124" s="81">
        <f t="shared" si="21"/>
        <v>248400</v>
      </c>
      <c r="AB124" s="81">
        <f t="shared" si="21"/>
        <v>324800</v>
      </c>
      <c r="AC124" s="81">
        <f t="shared" si="21"/>
        <v>310800</v>
      </c>
      <c r="AD124" s="81">
        <f t="shared" si="21"/>
        <v>201200</v>
      </c>
      <c r="AE124" s="81">
        <f t="shared" si="21"/>
        <v>286400</v>
      </c>
      <c r="AF124" s="81">
        <f t="shared" si="21"/>
        <v>387200</v>
      </c>
      <c r="AG124" s="81">
        <f t="shared" si="21"/>
        <v>120800</v>
      </c>
      <c r="AH124" s="114" t="s">
        <v>167</v>
      </c>
    </row>
    <row r="125">
      <c r="B125" s="92" t="s">
        <v>168</v>
      </c>
      <c r="C125" s="115">
        <v>8190.0</v>
      </c>
      <c r="D125" s="116">
        <v>6810.0</v>
      </c>
      <c r="E125" s="27">
        <v>4990.0</v>
      </c>
      <c r="F125" s="27">
        <v>7520.0</v>
      </c>
      <c r="G125" s="27">
        <v>11800.0</v>
      </c>
      <c r="H125" s="85">
        <v>8490.0</v>
      </c>
      <c r="I125" s="85">
        <v>7020.0</v>
      </c>
      <c r="J125" s="27">
        <v>9720.0</v>
      </c>
      <c r="K125" s="27">
        <v>8510.0</v>
      </c>
      <c r="L125" s="27">
        <v>5015.0</v>
      </c>
      <c r="M125" s="27">
        <v>4440.0</v>
      </c>
      <c r="N125" s="27">
        <v>4070.0</v>
      </c>
      <c r="O125" s="85">
        <v>4090.0</v>
      </c>
      <c r="P125" s="85">
        <v>8080.0</v>
      </c>
      <c r="Q125" s="85">
        <v>9160.0</v>
      </c>
      <c r="R125" s="85">
        <v>7260.0</v>
      </c>
      <c r="S125" s="85">
        <v>7870.0</v>
      </c>
      <c r="T125" s="27">
        <v>5540.0</v>
      </c>
      <c r="U125" s="27">
        <v>3880.0</v>
      </c>
      <c r="V125" s="27">
        <v>6030.0</v>
      </c>
      <c r="W125" s="27">
        <v>5070.0</v>
      </c>
      <c r="X125" s="27">
        <v>11140.0</v>
      </c>
      <c r="Y125" s="27">
        <v>6110.0</v>
      </c>
      <c r="Z125" s="27">
        <v>11840.0</v>
      </c>
      <c r="AA125" s="27">
        <v>5195.0</v>
      </c>
      <c r="AB125" s="27">
        <v>6395.0</v>
      </c>
      <c r="AC125" s="27">
        <v>5975.0</v>
      </c>
      <c r="AD125" s="27">
        <v>3320.0</v>
      </c>
      <c r="AE125" s="27">
        <v>5880.0</v>
      </c>
      <c r="AF125" s="27">
        <v>11855.0</v>
      </c>
      <c r="AG125" s="27">
        <v>2350.0</v>
      </c>
      <c r="AH125" s="92" t="s">
        <v>168</v>
      </c>
    </row>
    <row r="126">
      <c r="B126" s="27" t="s">
        <v>169</v>
      </c>
      <c r="C126" s="92">
        <v>5480.0</v>
      </c>
      <c r="D126" s="27">
        <v>3925.0</v>
      </c>
      <c r="E126" s="27">
        <v>2700.0</v>
      </c>
      <c r="F126" s="92">
        <v>6590.0</v>
      </c>
      <c r="G126" s="27">
        <v>7470.0</v>
      </c>
      <c r="H126" s="27">
        <v>5670.0</v>
      </c>
      <c r="I126" s="27">
        <v>5380.0</v>
      </c>
      <c r="J126" s="27">
        <v>6600.0</v>
      </c>
      <c r="K126" s="27">
        <v>6870.0</v>
      </c>
      <c r="L126" s="27">
        <v>3870.0</v>
      </c>
      <c r="M126" s="27">
        <v>4370.0</v>
      </c>
      <c r="N126" s="27">
        <v>2670.0</v>
      </c>
      <c r="O126" s="85">
        <v>1870.0</v>
      </c>
      <c r="P126" s="85">
        <v>6610.0</v>
      </c>
      <c r="Q126" s="85">
        <v>3215.0</v>
      </c>
      <c r="R126" s="85">
        <v>3240.0</v>
      </c>
      <c r="S126" s="85">
        <v>5300.0</v>
      </c>
      <c r="T126" s="27">
        <v>4270.0</v>
      </c>
      <c r="U126" s="27">
        <v>2670.0</v>
      </c>
      <c r="V126" s="27">
        <v>5580.0</v>
      </c>
      <c r="W126" s="27">
        <v>4705.0</v>
      </c>
      <c r="X126" s="27">
        <v>7390.0</v>
      </c>
      <c r="Y126" s="27">
        <v>4190.0</v>
      </c>
      <c r="Z126" s="27">
        <v>7450.0</v>
      </c>
      <c r="AA126" s="27">
        <v>3105.0</v>
      </c>
      <c r="AB126" s="27">
        <v>4060.0</v>
      </c>
      <c r="AC126" s="27">
        <v>3885.0</v>
      </c>
      <c r="AD126" s="27">
        <v>2515.0</v>
      </c>
      <c r="AE126" s="27">
        <v>3580.0</v>
      </c>
      <c r="AF126" s="27">
        <v>4840.0</v>
      </c>
      <c r="AG126" s="27">
        <v>1510.0</v>
      </c>
      <c r="AH126" s="27" t="s">
        <v>169</v>
      </c>
    </row>
    <row r="127">
      <c r="B127" s="92" t="s">
        <v>170</v>
      </c>
      <c r="C127" s="27">
        <v>5.75</v>
      </c>
      <c r="D127" s="27">
        <v>5.51</v>
      </c>
      <c r="E127" s="27">
        <v>6.11</v>
      </c>
      <c r="F127" s="27">
        <v>5.61</v>
      </c>
      <c r="G127" s="27">
        <v>5.81</v>
      </c>
      <c r="H127" s="27">
        <v>5.87</v>
      </c>
      <c r="I127" s="27">
        <v>5.89</v>
      </c>
      <c r="J127" s="27">
        <v>6.11</v>
      </c>
      <c r="K127" s="27">
        <v>4.47</v>
      </c>
      <c r="L127" s="27">
        <v>4.5</v>
      </c>
      <c r="M127" s="27">
        <v>4.29</v>
      </c>
      <c r="N127" s="27">
        <v>6.98</v>
      </c>
      <c r="O127" s="85">
        <v>6.42</v>
      </c>
      <c r="P127" s="85">
        <v>6.41</v>
      </c>
      <c r="Q127" s="85">
        <v>6.72</v>
      </c>
      <c r="R127" s="85">
        <v>6.6</v>
      </c>
      <c r="S127" s="85">
        <v>6.68</v>
      </c>
      <c r="T127" s="27">
        <v>5.0</v>
      </c>
      <c r="U127" s="27">
        <v>5.15</v>
      </c>
      <c r="V127" s="27">
        <v>4.96</v>
      </c>
      <c r="W127" s="27">
        <v>5.13</v>
      </c>
      <c r="X127" s="27">
        <v>3.51</v>
      </c>
      <c r="Y127" s="27">
        <v>3.76</v>
      </c>
      <c r="Z127" s="27">
        <v>5.15</v>
      </c>
      <c r="AA127" s="27">
        <v>4.84</v>
      </c>
      <c r="AB127" s="27">
        <v>6.96</v>
      </c>
      <c r="AC127" s="27">
        <v>6.76</v>
      </c>
      <c r="AD127" s="27">
        <v>6.7</v>
      </c>
      <c r="AE127" s="27">
        <v>7.03</v>
      </c>
      <c r="AF127" s="27">
        <v>20.85</v>
      </c>
      <c r="AG127" s="27">
        <v>16.75</v>
      </c>
      <c r="AH127" s="92" t="s">
        <v>170</v>
      </c>
    </row>
    <row r="128">
      <c r="B128" s="2"/>
      <c r="C128" s="1"/>
      <c r="D128" s="1"/>
      <c r="E128" s="1"/>
      <c r="F128" s="1"/>
      <c r="G128" s="1"/>
      <c r="H128" s="1"/>
      <c r="M128" s="1"/>
      <c r="O128" s="86"/>
      <c r="P128" s="86"/>
      <c r="Q128" s="86"/>
      <c r="R128" s="86"/>
      <c r="S128" s="86"/>
    </row>
    <row r="129">
      <c r="B129" s="1"/>
      <c r="C129" s="1"/>
      <c r="D129" s="1"/>
      <c r="E129" s="1"/>
      <c r="F129" s="1"/>
      <c r="G129" s="1"/>
      <c r="H129" s="1"/>
      <c r="M129" s="1"/>
      <c r="O129" s="86"/>
      <c r="P129" s="86"/>
      <c r="Q129" s="86"/>
      <c r="R129" s="86"/>
      <c r="S129" s="86"/>
    </row>
    <row r="130">
      <c r="B130" s="1"/>
      <c r="C130" s="1"/>
      <c r="D130" s="1"/>
      <c r="E130" s="1"/>
      <c r="F130" s="1"/>
      <c r="G130" s="1"/>
      <c r="H130" s="1"/>
      <c r="M130" s="1"/>
      <c r="U130" s="93">
        <v>3.0</v>
      </c>
    </row>
    <row r="131">
      <c r="B131" s="1"/>
      <c r="C131" s="1"/>
      <c r="D131" s="1"/>
      <c r="E131" s="1"/>
      <c r="F131" s="1"/>
      <c r="G131" s="1"/>
      <c r="H131" s="1"/>
      <c r="M131" s="1"/>
    </row>
    <row r="132">
      <c r="B132" s="1"/>
      <c r="C132" s="1"/>
      <c r="D132" s="1"/>
      <c r="E132" s="1"/>
      <c r="F132" s="1"/>
      <c r="G132" s="1"/>
      <c r="H132" s="1"/>
      <c r="M132" s="1"/>
    </row>
    <row r="133">
      <c r="B133" s="1"/>
      <c r="C133" s="1"/>
      <c r="D133" s="1"/>
      <c r="E133" s="1"/>
      <c r="F133" s="1"/>
      <c r="G133" s="1"/>
      <c r="H133" s="1"/>
      <c r="M133" s="1"/>
    </row>
    <row r="134">
      <c r="B134" s="1"/>
      <c r="C134" s="1"/>
      <c r="D134" s="1"/>
      <c r="E134" s="1"/>
      <c r="F134" s="1"/>
      <c r="G134" s="1"/>
      <c r="H134" s="1"/>
      <c r="M134" s="1"/>
    </row>
    <row r="135">
      <c r="B135" s="1"/>
      <c r="C135" s="1"/>
      <c r="D135" s="1"/>
      <c r="E135" s="1"/>
      <c r="F135" s="1"/>
      <c r="G135" s="1"/>
      <c r="H135" s="1"/>
      <c r="M135" s="1"/>
    </row>
    <row r="136">
      <c r="B136" s="1"/>
      <c r="C136" s="1"/>
      <c r="D136" s="1"/>
      <c r="E136" s="1"/>
      <c r="F136" s="1"/>
      <c r="G136" s="1"/>
      <c r="H136" s="1"/>
      <c r="M136" s="1"/>
    </row>
    <row r="137">
      <c r="B137" s="1"/>
      <c r="C137" s="1"/>
      <c r="D137" s="1"/>
      <c r="E137" s="1"/>
      <c r="F137" s="1"/>
      <c r="G137" s="1"/>
      <c r="H137" s="1"/>
      <c r="M137" s="1"/>
    </row>
    <row r="138">
      <c r="B138" s="1"/>
      <c r="C138" s="1"/>
      <c r="D138" s="1"/>
      <c r="E138" s="1"/>
      <c r="F138" s="1"/>
      <c r="G138" s="1"/>
      <c r="H138" s="1"/>
      <c r="M138" s="1"/>
    </row>
    <row r="139">
      <c r="B139" s="1"/>
      <c r="C139" s="1"/>
      <c r="D139" s="1"/>
      <c r="E139" s="1"/>
      <c r="F139" s="1"/>
      <c r="G139" s="1"/>
      <c r="H139" s="1"/>
      <c r="M139" s="1"/>
    </row>
    <row r="140">
      <c r="B140" s="1"/>
      <c r="C140" s="1"/>
      <c r="D140" s="1"/>
      <c r="E140" s="1"/>
      <c r="F140" s="1"/>
      <c r="G140" s="1"/>
      <c r="H140" s="1"/>
      <c r="M140" s="1"/>
    </row>
    <row r="141">
      <c r="B141" s="1"/>
      <c r="C141" s="1"/>
      <c r="D141" s="1"/>
      <c r="E141" s="1"/>
      <c r="F141" s="1"/>
      <c r="G141" s="1"/>
      <c r="H141" s="1"/>
      <c r="M141" s="1"/>
    </row>
    <row r="142">
      <c r="B142" s="1"/>
      <c r="C142" s="1"/>
      <c r="D142" s="1"/>
      <c r="E142" s="1"/>
      <c r="F142" s="1"/>
      <c r="G142" s="1"/>
      <c r="H142" s="1"/>
      <c r="M142" s="1"/>
    </row>
    <row r="143">
      <c r="B143" s="1"/>
      <c r="C143" s="1"/>
      <c r="D143" s="1"/>
      <c r="E143" s="1"/>
      <c r="F143" s="1"/>
      <c r="G143" s="1"/>
      <c r="H143" s="1"/>
      <c r="M143" s="1"/>
    </row>
    <row r="144">
      <c r="B144" s="1"/>
      <c r="C144" s="1"/>
      <c r="D144" s="1"/>
      <c r="E144" s="1"/>
      <c r="F144" s="1"/>
      <c r="G144" s="1"/>
      <c r="H144" s="1"/>
      <c r="M144" s="1"/>
    </row>
    <row r="145">
      <c r="B145" s="1"/>
      <c r="C145" s="1"/>
      <c r="D145" s="1"/>
      <c r="E145" s="1"/>
      <c r="F145" s="1"/>
      <c r="G145" s="1"/>
      <c r="H145" s="1"/>
      <c r="M145" s="1"/>
    </row>
    <row r="146">
      <c r="B146" s="1"/>
      <c r="C146" s="1"/>
      <c r="D146" s="1"/>
      <c r="E146" s="1"/>
      <c r="F146" s="1"/>
      <c r="G146" s="1"/>
      <c r="H146" s="1"/>
      <c r="M146" s="1"/>
    </row>
    <row r="147">
      <c r="B147" s="1"/>
      <c r="C147" s="1"/>
      <c r="D147" s="1"/>
      <c r="E147" s="1"/>
      <c r="F147" s="1"/>
      <c r="G147" s="1"/>
      <c r="H147" s="1"/>
      <c r="M147" s="1"/>
    </row>
    <row r="148">
      <c r="B148" s="1"/>
      <c r="C148" s="1"/>
      <c r="D148" s="1"/>
      <c r="E148" s="1"/>
      <c r="F148" s="1"/>
      <c r="G148" s="1"/>
      <c r="H148" s="1"/>
      <c r="M148" s="1"/>
    </row>
    <row r="149">
      <c r="B149" s="1"/>
      <c r="C149" s="1"/>
      <c r="D149" s="1"/>
      <c r="E149" s="1"/>
      <c r="F149" s="1"/>
      <c r="G149" s="1"/>
      <c r="H149" s="1"/>
      <c r="M149" s="1"/>
    </row>
    <row r="150">
      <c r="B150" s="1"/>
      <c r="C150" s="1"/>
      <c r="D150" s="1"/>
      <c r="E150" s="1"/>
      <c r="F150" s="1"/>
      <c r="G150" s="1"/>
      <c r="H150" s="1"/>
      <c r="M150" s="1"/>
    </row>
    <row r="151">
      <c r="B151" s="1"/>
      <c r="C151" s="1"/>
      <c r="D151" s="1"/>
      <c r="E151" s="1"/>
      <c r="F151" s="1"/>
      <c r="G151" s="1"/>
      <c r="H151" s="1"/>
      <c r="M151" s="1"/>
    </row>
    <row r="152">
      <c r="B152" s="1"/>
      <c r="C152" s="1"/>
      <c r="D152" s="1"/>
      <c r="E152" s="1"/>
      <c r="F152" s="1"/>
      <c r="G152" s="1"/>
      <c r="H152" s="1"/>
      <c r="M152" s="1"/>
    </row>
    <row r="153">
      <c r="B153" s="1"/>
      <c r="C153" s="1"/>
      <c r="D153" s="1"/>
      <c r="E153" s="1"/>
      <c r="F153" s="1"/>
      <c r="G153" s="1"/>
      <c r="H153" s="1"/>
      <c r="M153" s="1"/>
    </row>
    <row r="154">
      <c r="B154" s="1"/>
      <c r="C154" s="1"/>
      <c r="D154" s="1"/>
      <c r="E154" s="1"/>
      <c r="F154" s="1"/>
      <c r="G154" s="1"/>
      <c r="H154" s="1"/>
      <c r="M154" s="1"/>
    </row>
    <row r="155">
      <c r="B155" s="1"/>
      <c r="C155" s="1"/>
      <c r="D155" s="1"/>
      <c r="E155" s="1"/>
      <c r="F155" s="1"/>
      <c r="G155" s="1"/>
      <c r="H155" s="1"/>
      <c r="M155" s="1"/>
    </row>
    <row r="156">
      <c r="B156" s="1"/>
      <c r="C156" s="1"/>
      <c r="D156" s="1"/>
      <c r="E156" s="1"/>
      <c r="F156" s="1"/>
      <c r="G156" s="1"/>
      <c r="H156" s="1"/>
      <c r="M156" s="1"/>
    </row>
    <row r="157">
      <c r="B157" s="1"/>
      <c r="C157" s="1"/>
      <c r="D157" s="1"/>
      <c r="E157" s="1"/>
      <c r="F157" s="1"/>
      <c r="G157" s="1"/>
      <c r="H157" s="1"/>
      <c r="M157" s="1"/>
    </row>
    <row r="158">
      <c r="B158" s="1"/>
      <c r="C158" s="1"/>
      <c r="D158" s="1"/>
      <c r="E158" s="1"/>
      <c r="F158" s="1"/>
      <c r="G158" s="1"/>
      <c r="H158" s="1"/>
      <c r="M158" s="1"/>
    </row>
    <row r="159">
      <c r="B159" s="1"/>
      <c r="C159" s="1"/>
      <c r="D159" s="1"/>
      <c r="E159" s="1"/>
      <c r="F159" s="1"/>
      <c r="G159" s="1"/>
      <c r="H159" s="1"/>
      <c r="M159" s="1"/>
    </row>
    <row r="160">
      <c r="B160" s="1"/>
      <c r="C160" s="1"/>
      <c r="D160" s="1"/>
      <c r="E160" s="1"/>
      <c r="F160" s="1"/>
      <c r="G160" s="1"/>
      <c r="H160" s="1"/>
      <c r="M160" s="1"/>
    </row>
    <row r="161">
      <c r="B161" s="1"/>
      <c r="C161" s="1"/>
      <c r="D161" s="1"/>
      <c r="E161" s="1"/>
      <c r="F161" s="1"/>
      <c r="G161" s="1"/>
      <c r="H161" s="1"/>
      <c r="M161" s="1"/>
    </row>
    <row r="162">
      <c r="B162" s="1"/>
      <c r="C162" s="1"/>
      <c r="D162" s="1"/>
      <c r="E162" s="1"/>
      <c r="F162" s="1"/>
      <c r="G162" s="1"/>
      <c r="H162" s="1"/>
      <c r="M162" s="1"/>
    </row>
    <row r="163">
      <c r="B163" s="1"/>
      <c r="C163" s="1"/>
      <c r="D163" s="1"/>
      <c r="E163" s="1"/>
      <c r="F163" s="1"/>
      <c r="G163" s="1"/>
      <c r="H163" s="1"/>
      <c r="M163" s="1"/>
    </row>
    <row r="164">
      <c r="B164" s="1"/>
      <c r="C164" s="1"/>
      <c r="D164" s="1"/>
      <c r="E164" s="1"/>
      <c r="F164" s="1"/>
      <c r="G164" s="1"/>
      <c r="H164" s="1"/>
      <c r="M164" s="1"/>
    </row>
    <row r="165">
      <c r="B165" s="1"/>
      <c r="C165" s="1"/>
      <c r="D165" s="1"/>
      <c r="E165" s="1"/>
      <c r="F165" s="1"/>
      <c r="G165" s="1"/>
      <c r="H165" s="1"/>
      <c r="M165" s="1"/>
    </row>
    <row r="166">
      <c r="B166" s="1"/>
      <c r="C166" s="1"/>
      <c r="D166" s="1"/>
      <c r="E166" s="1"/>
      <c r="F166" s="1"/>
      <c r="G166" s="1"/>
      <c r="H166" s="1"/>
      <c r="M166" s="1"/>
    </row>
    <row r="167">
      <c r="B167" s="1"/>
      <c r="C167" s="1"/>
      <c r="D167" s="1"/>
      <c r="E167" s="1"/>
      <c r="F167" s="1"/>
      <c r="G167" s="1"/>
      <c r="H167" s="1"/>
      <c r="M167" s="1"/>
    </row>
    <row r="168">
      <c r="B168" s="1"/>
      <c r="C168" s="1"/>
      <c r="D168" s="1"/>
      <c r="E168" s="1"/>
      <c r="F168" s="1"/>
      <c r="G168" s="1"/>
      <c r="H168" s="1"/>
      <c r="M168" s="1"/>
    </row>
    <row r="169">
      <c r="B169" s="1"/>
      <c r="C169" s="1"/>
      <c r="D169" s="1"/>
      <c r="E169" s="1"/>
      <c r="F169" s="1"/>
      <c r="G169" s="1"/>
      <c r="H169" s="1"/>
      <c r="M169" s="1"/>
    </row>
    <row r="170">
      <c r="B170" s="1"/>
      <c r="C170" s="1"/>
      <c r="D170" s="1"/>
      <c r="E170" s="1"/>
      <c r="F170" s="1"/>
      <c r="G170" s="1"/>
      <c r="H170" s="1"/>
      <c r="M170" s="1"/>
    </row>
    <row r="171">
      <c r="B171" s="1"/>
      <c r="C171" s="1"/>
      <c r="D171" s="1"/>
      <c r="E171" s="1"/>
      <c r="F171" s="1"/>
      <c r="G171" s="1"/>
      <c r="H171" s="1"/>
      <c r="M171" s="1"/>
    </row>
    <row r="172">
      <c r="B172" s="1"/>
      <c r="C172" s="1"/>
      <c r="D172" s="1"/>
      <c r="E172" s="1"/>
      <c r="F172" s="1"/>
      <c r="G172" s="1"/>
      <c r="H172" s="1"/>
      <c r="M172" s="1"/>
    </row>
    <row r="173">
      <c r="B173" s="1"/>
      <c r="C173" s="1"/>
      <c r="D173" s="1"/>
      <c r="E173" s="1"/>
      <c r="F173" s="1"/>
      <c r="G173" s="1"/>
      <c r="H173" s="1"/>
      <c r="M173" s="1"/>
    </row>
    <row r="174">
      <c r="B174" s="1"/>
      <c r="C174" s="1"/>
      <c r="D174" s="1"/>
      <c r="E174" s="1"/>
      <c r="F174" s="1"/>
      <c r="G174" s="1"/>
      <c r="H174" s="1"/>
      <c r="M174" s="1"/>
    </row>
    <row r="175">
      <c r="B175" s="1"/>
      <c r="C175" s="1"/>
      <c r="D175" s="1"/>
      <c r="E175" s="1"/>
      <c r="F175" s="1"/>
      <c r="G175" s="1"/>
      <c r="H175" s="1"/>
      <c r="M175" s="1"/>
    </row>
    <row r="176">
      <c r="B176" s="1"/>
      <c r="C176" s="1"/>
      <c r="D176" s="1"/>
      <c r="E176" s="1"/>
      <c r="F176" s="1"/>
      <c r="G176" s="1"/>
      <c r="H176" s="1"/>
      <c r="M176" s="1"/>
    </row>
    <row r="177">
      <c r="B177" s="1"/>
      <c r="C177" s="1"/>
      <c r="D177" s="1"/>
      <c r="E177" s="1"/>
      <c r="F177" s="1"/>
      <c r="G177" s="1"/>
      <c r="H177" s="1"/>
      <c r="M177" s="1"/>
    </row>
    <row r="178">
      <c r="B178" s="1"/>
      <c r="C178" s="1"/>
      <c r="D178" s="1"/>
      <c r="E178" s="1"/>
      <c r="F178" s="1"/>
      <c r="G178" s="1"/>
      <c r="H178" s="1"/>
      <c r="M178" s="1"/>
    </row>
    <row r="179">
      <c r="B179" s="1"/>
      <c r="C179" s="1"/>
      <c r="D179" s="1"/>
      <c r="E179" s="1"/>
      <c r="F179" s="1"/>
      <c r="G179" s="1"/>
      <c r="H179" s="1"/>
      <c r="M179" s="1"/>
    </row>
    <row r="180">
      <c r="B180" s="1"/>
      <c r="C180" s="1"/>
      <c r="D180" s="1"/>
      <c r="E180" s="1"/>
      <c r="F180" s="1"/>
      <c r="G180" s="1"/>
      <c r="H180" s="1"/>
      <c r="M180" s="1"/>
    </row>
    <row r="181">
      <c r="B181" s="1"/>
      <c r="C181" s="1"/>
      <c r="D181" s="1"/>
      <c r="E181" s="1"/>
      <c r="F181" s="1"/>
      <c r="G181" s="1"/>
      <c r="H181" s="1"/>
      <c r="M181" s="1"/>
    </row>
    <row r="182">
      <c r="B182" s="1"/>
      <c r="C182" s="1"/>
      <c r="D182" s="1"/>
      <c r="E182" s="1"/>
      <c r="F182" s="1"/>
      <c r="G182" s="1"/>
      <c r="H182" s="1"/>
      <c r="M182" s="1"/>
    </row>
    <row r="183">
      <c r="B183" s="1"/>
      <c r="C183" s="1"/>
      <c r="D183" s="1"/>
      <c r="E183" s="1"/>
      <c r="F183" s="1"/>
      <c r="G183" s="1"/>
      <c r="H183" s="1"/>
      <c r="M183" s="1"/>
    </row>
    <row r="184">
      <c r="B184" s="1"/>
      <c r="C184" s="1"/>
      <c r="D184" s="1"/>
      <c r="E184" s="1"/>
      <c r="F184" s="1"/>
      <c r="G184" s="1"/>
      <c r="H184" s="1"/>
      <c r="M184" s="1"/>
    </row>
    <row r="185">
      <c r="B185" s="1"/>
      <c r="C185" s="1"/>
      <c r="D185" s="1"/>
      <c r="E185" s="1"/>
      <c r="F185" s="1"/>
      <c r="G185" s="1"/>
      <c r="H185" s="1"/>
      <c r="M185" s="1"/>
    </row>
    <row r="186">
      <c r="B186" s="1"/>
      <c r="C186" s="1"/>
      <c r="D186" s="1"/>
      <c r="E186" s="1"/>
      <c r="F186" s="1"/>
      <c r="G186" s="1"/>
      <c r="H186" s="1"/>
      <c r="M186" s="1"/>
    </row>
    <row r="187">
      <c r="B187" s="1"/>
      <c r="C187" s="1"/>
      <c r="D187" s="1"/>
      <c r="E187" s="1"/>
      <c r="F187" s="1"/>
      <c r="G187" s="1"/>
      <c r="H187" s="1"/>
      <c r="M187" s="1"/>
    </row>
    <row r="188">
      <c r="B188" s="1"/>
      <c r="C188" s="1"/>
      <c r="D188" s="1"/>
      <c r="E188" s="1"/>
      <c r="F188" s="1"/>
      <c r="G188" s="1"/>
      <c r="H188" s="1"/>
      <c r="M188" s="1"/>
    </row>
    <row r="189">
      <c r="B189" s="1"/>
      <c r="C189" s="1"/>
      <c r="D189" s="1"/>
      <c r="E189" s="1"/>
      <c r="F189" s="1"/>
      <c r="G189" s="1"/>
      <c r="H189" s="1"/>
      <c r="M189" s="1"/>
    </row>
    <row r="190">
      <c r="B190" s="1"/>
      <c r="C190" s="1"/>
      <c r="D190" s="1"/>
      <c r="E190" s="1"/>
      <c r="F190" s="1"/>
      <c r="G190" s="1"/>
      <c r="H190" s="1"/>
      <c r="M190" s="1"/>
    </row>
    <row r="191">
      <c r="B191" s="1"/>
      <c r="C191" s="1"/>
      <c r="D191" s="1"/>
      <c r="E191" s="1"/>
      <c r="F191" s="1"/>
      <c r="G191" s="1"/>
      <c r="H191" s="1"/>
      <c r="M191" s="1"/>
    </row>
    <row r="192">
      <c r="B192" s="1"/>
      <c r="C192" s="1"/>
      <c r="D192" s="1"/>
      <c r="E192" s="1"/>
      <c r="F192" s="1"/>
      <c r="G192" s="1"/>
      <c r="H192" s="1"/>
      <c r="M192" s="1"/>
    </row>
    <row r="193">
      <c r="B193" s="1"/>
      <c r="C193" s="1"/>
      <c r="D193" s="1"/>
      <c r="E193" s="1"/>
      <c r="F193" s="1"/>
      <c r="G193" s="1"/>
      <c r="H193" s="1"/>
      <c r="M193" s="1"/>
    </row>
    <row r="194">
      <c r="B194" s="1"/>
      <c r="C194" s="1"/>
      <c r="D194" s="1"/>
      <c r="E194" s="1"/>
      <c r="F194" s="1"/>
      <c r="G194" s="1"/>
      <c r="H194" s="1"/>
      <c r="M194" s="1"/>
    </row>
    <row r="195">
      <c r="B195" s="1"/>
      <c r="C195" s="1"/>
      <c r="D195" s="1"/>
      <c r="E195" s="1"/>
      <c r="F195" s="1"/>
      <c r="G195" s="1"/>
      <c r="H195" s="1"/>
      <c r="M195" s="1"/>
    </row>
    <row r="196">
      <c r="B196" s="1"/>
      <c r="C196" s="1"/>
      <c r="D196" s="1"/>
      <c r="E196" s="1"/>
      <c r="F196" s="1"/>
      <c r="G196" s="1"/>
      <c r="H196" s="1"/>
      <c r="M196" s="1"/>
    </row>
    <row r="197">
      <c r="B197" s="1"/>
      <c r="C197" s="1"/>
      <c r="D197" s="1"/>
      <c r="E197" s="1"/>
      <c r="F197" s="1"/>
      <c r="G197" s="1"/>
      <c r="H197" s="1"/>
      <c r="M197" s="1"/>
    </row>
    <row r="198">
      <c r="B198" s="1"/>
      <c r="C198" s="1"/>
      <c r="D198" s="1"/>
      <c r="E198" s="1"/>
      <c r="F198" s="1"/>
      <c r="G198" s="1"/>
      <c r="H198" s="1"/>
      <c r="M198" s="1"/>
    </row>
    <row r="199">
      <c r="B199" s="1"/>
      <c r="C199" s="1"/>
      <c r="D199" s="1"/>
      <c r="E199" s="1"/>
      <c r="F199" s="1"/>
      <c r="G199" s="1"/>
      <c r="H199" s="1"/>
      <c r="M199" s="1"/>
    </row>
    <row r="200">
      <c r="B200" s="1"/>
      <c r="C200" s="1"/>
      <c r="D200" s="1"/>
      <c r="E200" s="1"/>
      <c r="F200" s="1"/>
      <c r="G200" s="1"/>
      <c r="H200" s="1"/>
      <c r="M200" s="1"/>
    </row>
    <row r="201">
      <c r="B201" s="1"/>
      <c r="C201" s="1"/>
      <c r="D201" s="1"/>
      <c r="E201" s="1"/>
      <c r="F201" s="1"/>
      <c r="G201" s="1"/>
      <c r="H201" s="1"/>
      <c r="M201" s="1"/>
    </row>
    <row r="202">
      <c r="B202" s="1"/>
      <c r="C202" s="1"/>
      <c r="D202" s="1"/>
      <c r="E202" s="1"/>
      <c r="F202" s="1"/>
      <c r="G202" s="1"/>
      <c r="H202" s="1"/>
      <c r="M202" s="1"/>
    </row>
    <row r="203">
      <c r="B203" s="1"/>
      <c r="C203" s="1"/>
      <c r="D203" s="1"/>
      <c r="E203" s="1"/>
      <c r="F203" s="1"/>
      <c r="G203" s="1"/>
      <c r="H203" s="1"/>
      <c r="M203" s="1"/>
    </row>
    <row r="204">
      <c r="B204" s="1"/>
      <c r="C204" s="1"/>
      <c r="D204" s="1"/>
      <c r="E204" s="1"/>
      <c r="F204" s="1"/>
      <c r="G204" s="1"/>
      <c r="H204" s="1"/>
      <c r="M204" s="1"/>
    </row>
    <row r="205">
      <c r="B205" s="1"/>
      <c r="C205" s="1"/>
      <c r="D205" s="1"/>
      <c r="E205" s="1"/>
      <c r="F205" s="1"/>
      <c r="G205" s="1"/>
      <c r="H205" s="1"/>
      <c r="M205" s="1"/>
    </row>
    <row r="206">
      <c r="B206" s="1"/>
      <c r="C206" s="1"/>
      <c r="D206" s="1"/>
      <c r="E206" s="1"/>
      <c r="F206" s="1"/>
      <c r="G206" s="1"/>
      <c r="H206" s="1"/>
      <c r="M206" s="1"/>
    </row>
    <row r="207">
      <c r="B207" s="1"/>
      <c r="C207" s="1"/>
      <c r="D207" s="1"/>
      <c r="E207" s="1"/>
      <c r="F207" s="1"/>
      <c r="G207" s="1"/>
      <c r="H207" s="1"/>
      <c r="M207" s="1"/>
    </row>
    <row r="208">
      <c r="B208" s="1"/>
      <c r="C208" s="1"/>
      <c r="D208" s="1"/>
      <c r="E208" s="1"/>
      <c r="F208" s="1"/>
      <c r="G208" s="1"/>
      <c r="H208" s="1"/>
      <c r="M208" s="1"/>
    </row>
    <row r="209">
      <c r="B209" s="1"/>
      <c r="C209" s="1"/>
      <c r="D209" s="1"/>
      <c r="E209" s="1"/>
      <c r="F209" s="1"/>
      <c r="G209" s="1"/>
      <c r="H209" s="1"/>
      <c r="M209" s="1"/>
    </row>
    <row r="210">
      <c r="B210" s="1"/>
      <c r="C210" s="1"/>
      <c r="D210" s="1"/>
      <c r="E210" s="1"/>
      <c r="F210" s="1"/>
      <c r="G210" s="1"/>
      <c r="H210" s="1"/>
      <c r="M210" s="1"/>
    </row>
    <row r="211">
      <c r="B211" s="1"/>
      <c r="C211" s="1"/>
      <c r="D211" s="1"/>
      <c r="E211" s="1"/>
      <c r="F211" s="1"/>
      <c r="G211" s="1"/>
      <c r="H211" s="1"/>
      <c r="M211" s="1"/>
    </row>
    <row r="212">
      <c r="B212" s="1"/>
      <c r="C212" s="1"/>
      <c r="D212" s="1"/>
      <c r="E212" s="1"/>
      <c r="F212" s="1"/>
      <c r="G212" s="1"/>
      <c r="H212" s="1"/>
      <c r="M212" s="1"/>
    </row>
    <row r="213">
      <c r="B213" s="1"/>
      <c r="C213" s="1"/>
      <c r="D213" s="1"/>
      <c r="E213" s="1"/>
      <c r="F213" s="1"/>
      <c r="G213" s="1"/>
      <c r="H213" s="1"/>
      <c r="M213" s="1"/>
    </row>
    <row r="214">
      <c r="B214" s="1"/>
      <c r="C214" s="1"/>
      <c r="D214" s="1"/>
      <c r="E214" s="1"/>
      <c r="F214" s="1"/>
      <c r="G214" s="1"/>
      <c r="H214" s="1"/>
      <c r="M214" s="1"/>
    </row>
    <row r="215">
      <c r="B215" s="1"/>
      <c r="C215" s="1"/>
      <c r="D215" s="1"/>
      <c r="E215" s="1"/>
      <c r="F215" s="1"/>
      <c r="G215" s="1"/>
      <c r="H215" s="1"/>
      <c r="M215" s="1"/>
    </row>
    <row r="216">
      <c r="B216" s="1"/>
      <c r="C216" s="1"/>
      <c r="D216" s="1"/>
      <c r="E216" s="1"/>
      <c r="F216" s="1"/>
      <c r="G216" s="1"/>
      <c r="H216" s="1"/>
      <c r="M216" s="1"/>
    </row>
    <row r="217">
      <c r="B217" s="1"/>
      <c r="C217" s="1"/>
      <c r="D217" s="1"/>
      <c r="E217" s="1"/>
      <c r="F217" s="1"/>
      <c r="G217" s="1"/>
      <c r="H217" s="1"/>
      <c r="M217" s="1"/>
    </row>
    <row r="218">
      <c r="B218" s="1"/>
      <c r="C218" s="1"/>
      <c r="D218" s="1"/>
      <c r="E218" s="1"/>
      <c r="F218" s="1"/>
      <c r="G218" s="1"/>
      <c r="H218" s="1"/>
      <c r="M218" s="1"/>
    </row>
    <row r="219">
      <c r="B219" s="1"/>
      <c r="C219" s="1"/>
      <c r="D219" s="1"/>
      <c r="E219" s="1"/>
      <c r="F219" s="1"/>
      <c r="G219" s="1"/>
      <c r="H219" s="1"/>
      <c r="M219" s="1"/>
    </row>
    <row r="220">
      <c r="B220" s="1"/>
      <c r="C220" s="1"/>
      <c r="D220" s="1"/>
      <c r="E220" s="1"/>
      <c r="F220" s="1"/>
      <c r="G220" s="1"/>
      <c r="H220" s="1"/>
      <c r="M220" s="1"/>
    </row>
    <row r="221">
      <c r="B221" s="1"/>
      <c r="C221" s="1"/>
      <c r="D221" s="1"/>
      <c r="E221" s="1"/>
      <c r="F221" s="1"/>
      <c r="G221" s="1"/>
      <c r="H221" s="1"/>
      <c r="M221" s="1"/>
    </row>
    <row r="222">
      <c r="B222" s="1"/>
      <c r="C222" s="1"/>
      <c r="D222" s="1"/>
      <c r="E222" s="1"/>
      <c r="F222" s="1"/>
      <c r="G222" s="1"/>
      <c r="H222" s="1"/>
      <c r="M222" s="1"/>
    </row>
    <row r="223">
      <c r="B223" s="1"/>
      <c r="C223" s="1"/>
      <c r="D223" s="1"/>
      <c r="E223" s="1"/>
      <c r="F223" s="1"/>
      <c r="G223" s="1"/>
      <c r="H223" s="1"/>
      <c r="M223" s="1"/>
    </row>
    <row r="224">
      <c r="B224" s="1"/>
      <c r="C224" s="1"/>
      <c r="D224" s="1"/>
      <c r="E224" s="1"/>
      <c r="F224" s="1"/>
      <c r="G224" s="1"/>
      <c r="H224" s="1"/>
      <c r="M224" s="1"/>
    </row>
    <row r="225">
      <c r="B225" s="1"/>
      <c r="C225" s="1"/>
      <c r="D225" s="1"/>
      <c r="E225" s="1"/>
      <c r="F225" s="1"/>
      <c r="G225" s="1"/>
      <c r="H225" s="1"/>
      <c r="M225" s="1"/>
    </row>
    <row r="226">
      <c r="B226" s="1"/>
      <c r="C226" s="1"/>
      <c r="D226" s="1"/>
      <c r="E226" s="1"/>
      <c r="F226" s="1"/>
      <c r="G226" s="1"/>
      <c r="H226" s="1"/>
      <c r="M226" s="1"/>
    </row>
    <row r="227">
      <c r="B227" s="1"/>
      <c r="C227" s="1"/>
      <c r="D227" s="1"/>
      <c r="E227" s="1"/>
      <c r="F227" s="1"/>
      <c r="G227" s="1"/>
      <c r="H227" s="1"/>
      <c r="M227" s="1"/>
    </row>
    <row r="228">
      <c r="B228" s="1"/>
      <c r="C228" s="1"/>
      <c r="D228" s="1"/>
      <c r="E228" s="1"/>
      <c r="F228" s="1"/>
      <c r="G228" s="1"/>
      <c r="H228" s="1"/>
      <c r="M228" s="1"/>
    </row>
    <row r="229">
      <c r="B229" s="1"/>
      <c r="C229" s="1"/>
      <c r="D229" s="1"/>
      <c r="E229" s="1"/>
      <c r="F229" s="1"/>
      <c r="G229" s="1"/>
      <c r="H229" s="1"/>
      <c r="M229" s="1"/>
    </row>
    <row r="230">
      <c r="B230" s="1"/>
      <c r="C230" s="1"/>
      <c r="D230" s="1"/>
      <c r="E230" s="1"/>
      <c r="F230" s="1"/>
      <c r="G230" s="1"/>
      <c r="H230" s="1"/>
      <c r="M230" s="1"/>
    </row>
    <row r="231">
      <c r="B231" s="1"/>
      <c r="C231" s="1"/>
      <c r="D231" s="1"/>
      <c r="E231" s="1"/>
      <c r="F231" s="1"/>
      <c r="G231" s="1"/>
      <c r="H231" s="1"/>
      <c r="M231" s="1"/>
    </row>
    <row r="232">
      <c r="B232" s="1"/>
      <c r="C232" s="1"/>
      <c r="D232" s="1"/>
      <c r="E232" s="1"/>
      <c r="F232" s="1"/>
      <c r="G232" s="1"/>
      <c r="H232" s="1"/>
      <c r="M232" s="1"/>
    </row>
    <row r="233">
      <c r="B233" s="1"/>
      <c r="C233" s="1"/>
      <c r="D233" s="1"/>
      <c r="E233" s="1"/>
      <c r="F233" s="1"/>
      <c r="G233" s="1"/>
      <c r="H233" s="1"/>
      <c r="M233" s="1"/>
    </row>
    <row r="234">
      <c r="B234" s="1"/>
      <c r="C234" s="1"/>
      <c r="D234" s="1"/>
      <c r="E234" s="1"/>
      <c r="F234" s="1"/>
      <c r="G234" s="1"/>
      <c r="H234" s="1"/>
      <c r="M234" s="1"/>
    </row>
    <row r="235">
      <c r="B235" s="1"/>
      <c r="C235" s="1"/>
      <c r="D235" s="1"/>
      <c r="E235" s="1"/>
      <c r="F235" s="1"/>
      <c r="G235" s="1"/>
      <c r="H235" s="1"/>
      <c r="M235" s="1"/>
    </row>
    <row r="236">
      <c r="B236" s="1"/>
      <c r="C236" s="1"/>
      <c r="D236" s="1"/>
      <c r="E236" s="1"/>
      <c r="F236" s="1"/>
      <c r="G236" s="1"/>
      <c r="H236" s="1"/>
      <c r="M236" s="1"/>
    </row>
    <row r="237">
      <c r="B237" s="1"/>
      <c r="C237" s="1"/>
      <c r="D237" s="1"/>
      <c r="E237" s="1"/>
      <c r="F237" s="1"/>
      <c r="G237" s="1"/>
      <c r="H237" s="1"/>
      <c r="M237" s="1"/>
    </row>
    <row r="238">
      <c r="B238" s="1"/>
      <c r="C238" s="1"/>
      <c r="D238" s="1"/>
      <c r="E238" s="1"/>
      <c r="F238" s="1"/>
      <c r="G238" s="1"/>
      <c r="H238" s="1"/>
      <c r="M238" s="1"/>
    </row>
    <row r="239">
      <c r="B239" s="1"/>
      <c r="C239" s="1"/>
      <c r="D239" s="1"/>
      <c r="E239" s="1"/>
      <c r="F239" s="1"/>
      <c r="G239" s="1"/>
      <c r="H239" s="1"/>
      <c r="M239" s="1"/>
    </row>
    <row r="240">
      <c r="B240" s="1"/>
      <c r="C240" s="1"/>
      <c r="D240" s="1"/>
      <c r="E240" s="1"/>
      <c r="F240" s="1"/>
      <c r="G240" s="1"/>
      <c r="H240" s="1"/>
      <c r="M240" s="1"/>
    </row>
    <row r="241">
      <c r="B241" s="1"/>
      <c r="C241" s="1"/>
      <c r="D241" s="1"/>
      <c r="E241" s="1"/>
      <c r="F241" s="1"/>
      <c r="G241" s="1"/>
      <c r="H241" s="1"/>
      <c r="M241" s="1"/>
    </row>
    <row r="242">
      <c r="B242" s="1"/>
      <c r="C242" s="1"/>
      <c r="D242" s="1"/>
      <c r="E242" s="1"/>
      <c r="F242" s="1"/>
      <c r="G242" s="1"/>
      <c r="H242" s="1"/>
      <c r="M242" s="1"/>
    </row>
    <row r="243">
      <c r="B243" s="1"/>
      <c r="C243" s="1"/>
      <c r="D243" s="1"/>
      <c r="E243" s="1"/>
      <c r="F243" s="1"/>
      <c r="G243" s="1"/>
      <c r="H243" s="1"/>
      <c r="M243" s="1"/>
    </row>
    <row r="244">
      <c r="B244" s="1"/>
      <c r="C244" s="1"/>
      <c r="D244" s="1"/>
      <c r="E244" s="1"/>
      <c r="F244" s="1"/>
      <c r="G244" s="1"/>
      <c r="H244" s="1"/>
      <c r="M244" s="1"/>
    </row>
    <row r="245">
      <c r="B245" s="1"/>
      <c r="C245" s="1"/>
      <c r="D245" s="1"/>
      <c r="E245" s="1"/>
      <c r="F245" s="1"/>
      <c r="G245" s="1"/>
      <c r="H245" s="1"/>
      <c r="M245" s="1"/>
    </row>
    <row r="246">
      <c r="B246" s="1"/>
      <c r="C246" s="1"/>
      <c r="D246" s="1"/>
      <c r="E246" s="1"/>
      <c r="F246" s="1"/>
      <c r="G246" s="1"/>
      <c r="H246" s="1"/>
      <c r="M246" s="1"/>
    </row>
    <row r="247">
      <c r="B247" s="1"/>
      <c r="C247" s="1"/>
      <c r="D247" s="1"/>
      <c r="E247" s="1"/>
      <c r="F247" s="1"/>
      <c r="G247" s="1"/>
      <c r="H247" s="1"/>
      <c r="M247" s="1"/>
    </row>
    <row r="248">
      <c r="B248" s="1"/>
      <c r="C248" s="1"/>
      <c r="D248" s="1"/>
      <c r="E248" s="1"/>
      <c r="F248" s="1"/>
      <c r="G248" s="1"/>
      <c r="H248" s="1"/>
      <c r="M248" s="1"/>
    </row>
    <row r="249">
      <c r="B249" s="1"/>
      <c r="C249" s="1"/>
      <c r="D249" s="1"/>
      <c r="E249" s="1"/>
      <c r="F249" s="1"/>
      <c r="G249" s="1"/>
      <c r="H249" s="1"/>
      <c r="M249" s="1"/>
    </row>
    <row r="250">
      <c r="B250" s="1"/>
      <c r="C250" s="1"/>
      <c r="D250" s="1"/>
      <c r="E250" s="1"/>
      <c r="F250" s="1"/>
      <c r="G250" s="1"/>
      <c r="H250" s="1"/>
      <c r="M250" s="1"/>
    </row>
    <row r="251">
      <c r="B251" s="1"/>
      <c r="C251" s="1"/>
      <c r="D251" s="1"/>
      <c r="E251" s="1"/>
      <c r="F251" s="1"/>
      <c r="G251" s="1"/>
      <c r="H251" s="1"/>
      <c r="M251" s="1"/>
    </row>
    <row r="252">
      <c r="B252" s="1"/>
      <c r="C252" s="1"/>
      <c r="D252" s="1"/>
      <c r="E252" s="1"/>
      <c r="F252" s="1"/>
      <c r="G252" s="1"/>
      <c r="H252" s="1"/>
      <c r="M252" s="1"/>
    </row>
    <row r="253">
      <c r="B253" s="1"/>
      <c r="C253" s="1"/>
      <c r="D253" s="1"/>
      <c r="E253" s="1"/>
      <c r="F253" s="1"/>
      <c r="G253" s="1"/>
      <c r="H253" s="1"/>
      <c r="M253" s="1"/>
    </row>
    <row r="254">
      <c r="B254" s="1"/>
      <c r="C254" s="1"/>
      <c r="D254" s="1"/>
      <c r="E254" s="1"/>
      <c r="F254" s="1"/>
      <c r="G254" s="1"/>
      <c r="H254" s="1"/>
      <c r="M254" s="1"/>
    </row>
    <row r="255">
      <c r="B255" s="1"/>
      <c r="C255" s="1"/>
      <c r="D255" s="1"/>
      <c r="E255" s="1"/>
      <c r="F255" s="1"/>
      <c r="G255" s="1"/>
      <c r="H255" s="1"/>
      <c r="M255" s="1"/>
    </row>
    <row r="256">
      <c r="B256" s="1"/>
      <c r="C256" s="1"/>
      <c r="D256" s="1"/>
      <c r="E256" s="1"/>
      <c r="F256" s="1"/>
      <c r="G256" s="1"/>
      <c r="H256" s="1"/>
      <c r="M256" s="1"/>
    </row>
    <row r="257">
      <c r="B257" s="1"/>
      <c r="C257" s="1"/>
      <c r="D257" s="1"/>
      <c r="E257" s="1"/>
      <c r="F257" s="1"/>
      <c r="G257" s="1"/>
      <c r="H257" s="1"/>
      <c r="M257" s="1"/>
    </row>
    <row r="258">
      <c r="B258" s="1"/>
      <c r="C258" s="1"/>
      <c r="D258" s="1"/>
      <c r="E258" s="1"/>
      <c r="F258" s="1"/>
      <c r="G258" s="1"/>
      <c r="H258" s="1"/>
      <c r="M258" s="1"/>
    </row>
    <row r="259">
      <c r="B259" s="1"/>
      <c r="C259" s="1"/>
      <c r="D259" s="1"/>
      <c r="E259" s="1"/>
      <c r="F259" s="1"/>
      <c r="G259" s="1"/>
      <c r="H259" s="1"/>
      <c r="M259" s="1"/>
    </row>
    <row r="260">
      <c r="B260" s="1"/>
      <c r="C260" s="1"/>
      <c r="D260" s="1"/>
      <c r="E260" s="1"/>
      <c r="F260" s="1"/>
      <c r="G260" s="1"/>
      <c r="H260" s="1"/>
      <c r="M260" s="1"/>
    </row>
    <row r="261">
      <c r="B261" s="1"/>
      <c r="C261" s="1"/>
      <c r="D261" s="1"/>
      <c r="E261" s="1"/>
      <c r="F261" s="1"/>
      <c r="G261" s="1"/>
      <c r="H261" s="1"/>
      <c r="M261" s="1"/>
    </row>
    <row r="262">
      <c r="B262" s="1"/>
      <c r="C262" s="1"/>
      <c r="D262" s="1"/>
      <c r="E262" s="1"/>
      <c r="F262" s="1"/>
      <c r="G262" s="1"/>
      <c r="H262" s="1"/>
      <c r="M262" s="1"/>
    </row>
    <row r="263">
      <c r="B263" s="1"/>
      <c r="C263" s="1"/>
      <c r="D263" s="1"/>
      <c r="E263" s="1"/>
      <c r="F263" s="1"/>
      <c r="G263" s="1"/>
      <c r="H263" s="1"/>
      <c r="M263" s="1"/>
    </row>
    <row r="264">
      <c r="B264" s="1"/>
      <c r="C264" s="1"/>
      <c r="D264" s="1"/>
      <c r="E264" s="1"/>
      <c r="F264" s="1"/>
      <c r="G264" s="1"/>
      <c r="H264" s="1"/>
      <c r="M264" s="1"/>
    </row>
    <row r="265">
      <c r="B265" s="1"/>
      <c r="C265" s="1"/>
      <c r="D265" s="1"/>
      <c r="E265" s="1"/>
      <c r="F265" s="1"/>
      <c r="G265" s="1"/>
      <c r="H265" s="1"/>
      <c r="M265" s="1"/>
    </row>
    <row r="266">
      <c r="B266" s="1"/>
      <c r="C266" s="1"/>
      <c r="D266" s="1"/>
      <c r="E266" s="1"/>
      <c r="F266" s="1"/>
      <c r="G266" s="1"/>
      <c r="H266" s="1"/>
      <c r="M266" s="1"/>
    </row>
    <row r="267">
      <c r="B267" s="1"/>
      <c r="C267" s="1"/>
      <c r="D267" s="1"/>
      <c r="E267" s="1"/>
      <c r="F267" s="1"/>
      <c r="G267" s="1"/>
      <c r="H267" s="1"/>
      <c r="M267" s="1"/>
    </row>
    <row r="268">
      <c r="B268" s="1"/>
      <c r="C268" s="1"/>
      <c r="D268" s="1"/>
      <c r="E268" s="1"/>
      <c r="F268" s="1"/>
      <c r="G268" s="1"/>
      <c r="H268" s="1"/>
      <c r="M268" s="1"/>
    </row>
    <row r="269">
      <c r="B269" s="1"/>
      <c r="C269" s="1"/>
      <c r="D269" s="1"/>
      <c r="E269" s="1"/>
      <c r="F269" s="1"/>
      <c r="G269" s="1"/>
      <c r="H269" s="1"/>
      <c r="M269" s="1"/>
    </row>
    <row r="270">
      <c r="B270" s="1"/>
      <c r="C270" s="1"/>
      <c r="D270" s="1"/>
      <c r="E270" s="1"/>
      <c r="F270" s="1"/>
      <c r="G270" s="1"/>
      <c r="H270" s="1"/>
      <c r="M270" s="1"/>
    </row>
    <row r="271">
      <c r="B271" s="1"/>
      <c r="C271" s="1"/>
      <c r="D271" s="1"/>
      <c r="E271" s="1"/>
      <c r="F271" s="1"/>
      <c r="G271" s="1"/>
      <c r="H271" s="1"/>
      <c r="M271" s="1"/>
    </row>
    <row r="272">
      <c r="B272" s="1"/>
      <c r="C272" s="1"/>
      <c r="D272" s="1"/>
      <c r="E272" s="1"/>
      <c r="F272" s="1"/>
      <c r="G272" s="1"/>
      <c r="H272" s="1"/>
      <c r="M272" s="1"/>
    </row>
    <row r="273">
      <c r="B273" s="1"/>
      <c r="C273" s="1"/>
      <c r="D273" s="1"/>
      <c r="E273" s="1"/>
      <c r="F273" s="1"/>
      <c r="G273" s="1"/>
      <c r="H273" s="1"/>
      <c r="M273" s="1"/>
    </row>
    <row r="274">
      <c r="B274" s="1"/>
      <c r="C274" s="1"/>
      <c r="D274" s="1"/>
      <c r="E274" s="1"/>
      <c r="F274" s="1"/>
      <c r="G274" s="1"/>
      <c r="H274" s="1"/>
      <c r="M274" s="1"/>
    </row>
    <row r="275">
      <c r="B275" s="1"/>
      <c r="C275" s="1"/>
      <c r="D275" s="1"/>
      <c r="E275" s="1"/>
      <c r="F275" s="1"/>
      <c r="G275" s="1"/>
      <c r="H275" s="1"/>
      <c r="M275" s="1"/>
    </row>
    <row r="276">
      <c r="B276" s="1"/>
      <c r="C276" s="1"/>
      <c r="D276" s="1"/>
      <c r="E276" s="1"/>
      <c r="F276" s="1"/>
      <c r="G276" s="1"/>
      <c r="H276" s="1"/>
      <c r="M276" s="1"/>
    </row>
    <row r="277">
      <c r="B277" s="1"/>
      <c r="C277" s="1"/>
      <c r="D277" s="1"/>
      <c r="E277" s="1"/>
      <c r="F277" s="1"/>
      <c r="G277" s="1"/>
      <c r="H277" s="1"/>
      <c r="M277" s="1"/>
    </row>
    <row r="278">
      <c r="B278" s="1"/>
      <c r="C278" s="1"/>
      <c r="D278" s="1"/>
      <c r="E278" s="1"/>
      <c r="F278" s="1"/>
      <c r="G278" s="1"/>
      <c r="H278" s="1"/>
      <c r="M278" s="1"/>
    </row>
    <row r="279">
      <c r="B279" s="1"/>
      <c r="C279" s="1"/>
      <c r="D279" s="1"/>
      <c r="E279" s="1"/>
      <c r="F279" s="1"/>
      <c r="G279" s="1"/>
      <c r="H279" s="1"/>
      <c r="M279" s="1"/>
    </row>
    <row r="280">
      <c r="B280" s="1"/>
      <c r="C280" s="1"/>
      <c r="D280" s="1"/>
      <c r="E280" s="1"/>
      <c r="F280" s="1"/>
      <c r="G280" s="1"/>
      <c r="H280" s="1"/>
      <c r="M280" s="1"/>
    </row>
    <row r="281">
      <c r="B281" s="1"/>
      <c r="C281" s="1"/>
      <c r="D281" s="1"/>
      <c r="E281" s="1"/>
      <c r="F281" s="1"/>
      <c r="G281" s="1"/>
      <c r="H281" s="1"/>
      <c r="M281" s="1"/>
    </row>
    <row r="282">
      <c r="B282" s="1"/>
      <c r="C282" s="1"/>
      <c r="D282" s="1"/>
      <c r="E282" s="1"/>
      <c r="F282" s="1"/>
      <c r="G282" s="1"/>
      <c r="H282" s="1"/>
      <c r="M282" s="1"/>
    </row>
    <row r="283">
      <c r="B283" s="1"/>
      <c r="C283" s="1"/>
      <c r="D283" s="1"/>
      <c r="E283" s="1"/>
      <c r="F283" s="1"/>
      <c r="G283" s="1"/>
      <c r="H283" s="1"/>
      <c r="M283" s="1"/>
    </row>
    <row r="284">
      <c r="B284" s="1"/>
      <c r="C284" s="1"/>
      <c r="D284" s="1"/>
      <c r="E284" s="1"/>
      <c r="F284" s="1"/>
      <c r="G284" s="1"/>
      <c r="H284" s="1"/>
      <c r="M284" s="1"/>
    </row>
    <row r="285">
      <c r="B285" s="1"/>
      <c r="C285" s="1"/>
      <c r="D285" s="1"/>
      <c r="E285" s="1"/>
      <c r="F285" s="1"/>
      <c r="G285" s="1"/>
      <c r="H285" s="1"/>
      <c r="M285" s="1"/>
    </row>
    <row r="286">
      <c r="B286" s="1"/>
      <c r="C286" s="1"/>
      <c r="D286" s="1"/>
      <c r="E286" s="1"/>
      <c r="F286" s="1"/>
      <c r="G286" s="1"/>
      <c r="H286" s="1"/>
      <c r="M286" s="1"/>
    </row>
    <row r="287">
      <c r="B287" s="1"/>
      <c r="C287" s="1"/>
      <c r="D287" s="1"/>
      <c r="E287" s="1"/>
      <c r="F287" s="1"/>
      <c r="G287" s="1"/>
      <c r="H287" s="1"/>
      <c r="M287" s="1"/>
    </row>
    <row r="288">
      <c r="B288" s="1"/>
      <c r="C288" s="1"/>
      <c r="D288" s="1"/>
      <c r="E288" s="1"/>
      <c r="F288" s="1"/>
      <c r="G288" s="1"/>
      <c r="H288" s="1"/>
      <c r="M288" s="1"/>
    </row>
    <row r="289">
      <c r="B289" s="1"/>
      <c r="C289" s="1"/>
      <c r="D289" s="1"/>
      <c r="E289" s="1"/>
      <c r="F289" s="1"/>
      <c r="G289" s="1"/>
      <c r="H289" s="1"/>
      <c r="M289" s="1"/>
    </row>
    <row r="290">
      <c r="B290" s="1"/>
      <c r="C290" s="1"/>
      <c r="D290" s="1"/>
      <c r="E290" s="1"/>
      <c r="F290" s="1"/>
      <c r="G290" s="1"/>
      <c r="H290" s="1"/>
      <c r="M290" s="1"/>
    </row>
    <row r="291">
      <c r="B291" s="1"/>
      <c r="C291" s="1"/>
      <c r="D291" s="1"/>
      <c r="E291" s="1"/>
      <c r="F291" s="1"/>
      <c r="G291" s="1"/>
      <c r="H291" s="1"/>
      <c r="M291" s="1"/>
    </row>
    <row r="292">
      <c r="B292" s="1"/>
      <c r="C292" s="1"/>
      <c r="D292" s="1"/>
      <c r="E292" s="1"/>
      <c r="F292" s="1"/>
      <c r="G292" s="1"/>
      <c r="H292" s="1"/>
      <c r="M292" s="1"/>
    </row>
    <row r="293">
      <c r="B293" s="1"/>
      <c r="C293" s="1"/>
      <c r="D293" s="1"/>
      <c r="E293" s="1"/>
      <c r="F293" s="1"/>
      <c r="G293" s="1"/>
      <c r="H293" s="1"/>
      <c r="M293" s="1"/>
    </row>
    <row r="294">
      <c r="B294" s="1"/>
      <c r="C294" s="1"/>
      <c r="D294" s="1"/>
      <c r="E294" s="1"/>
      <c r="F294" s="1"/>
      <c r="G294" s="1"/>
      <c r="H294" s="1"/>
      <c r="M294" s="1"/>
    </row>
    <row r="295">
      <c r="B295" s="1"/>
      <c r="C295" s="1"/>
      <c r="D295" s="1"/>
      <c r="E295" s="1"/>
      <c r="F295" s="1"/>
      <c r="G295" s="1"/>
      <c r="H295" s="1"/>
      <c r="M295" s="1"/>
    </row>
    <row r="296">
      <c r="B296" s="1"/>
      <c r="C296" s="1"/>
      <c r="D296" s="1"/>
      <c r="E296" s="1"/>
      <c r="F296" s="1"/>
      <c r="G296" s="1"/>
      <c r="H296" s="1"/>
      <c r="M296" s="1"/>
    </row>
    <row r="297">
      <c r="B297" s="1"/>
      <c r="C297" s="1"/>
      <c r="D297" s="1"/>
      <c r="E297" s="1"/>
      <c r="F297" s="1"/>
      <c r="G297" s="1"/>
      <c r="H297" s="1"/>
      <c r="M297" s="1"/>
    </row>
    <row r="298">
      <c r="B298" s="1"/>
      <c r="C298" s="1"/>
      <c r="D298" s="1"/>
      <c r="E298" s="1"/>
      <c r="F298" s="1"/>
      <c r="G298" s="1"/>
      <c r="H298" s="1"/>
      <c r="M298" s="1"/>
    </row>
    <row r="299">
      <c r="B299" s="1"/>
      <c r="C299" s="1"/>
      <c r="D299" s="1"/>
      <c r="E299" s="1"/>
      <c r="F299" s="1"/>
      <c r="G299" s="1"/>
      <c r="H299" s="1"/>
      <c r="M299" s="1"/>
    </row>
    <row r="300">
      <c r="B300" s="1"/>
      <c r="C300" s="1"/>
      <c r="D300" s="1"/>
      <c r="E300" s="1"/>
      <c r="F300" s="1"/>
      <c r="G300" s="1"/>
      <c r="H300" s="1"/>
      <c r="M300" s="1"/>
    </row>
    <row r="301">
      <c r="B301" s="1"/>
      <c r="C301" s="1"/>
      <c r="D301" s="1"/>
      <c r="E301" s="1"/>
      <c r="F301" s="1"/>
      <c r="G301" s="1"/>
      <c r="H301" s="1"/>
      <c r="M301" s="1"/>
    </row>
    <row r="302">
      <c r="B302" s="1"/>
      <c r="C302" s="1"/>
      <c r="D302" s="1"/>
      <c r="E302" s="1"/>
      <c r="F302" s="1"/>
      <c r="G302" s="1"/>
      <c r="H302" s="1"/>
      <c r="M302" s="1"/>
    </row>
    <row r="303">
      <c r="B303" s="1"/>
      <c r="C303" s="1"/>
      <c r="D303" s="1"/>
      <c r="E303" s="1"/>
      <c r="F303" s="1"/>
      <c r="G303" s="1"/>
      <c r="H303" s="1"/>
      <c r="M303" s="1"/>
    </row>
    <row r="304">
      <c r="B304" s="1"/>
      <c r="C304" s="1"/>
      <c r="D304" s="1"/>
      <c r="E304" s="1"/>
      <c r="F304" s="1"/>
      <c r="G304" s="1"/>
      <c r="H304" s="1"/>
      <c r="M304" s="1"/>
    </row>
    <row r="305">
      <c r="B305" s="1"/>
      <c r="C305" s="1"/>
      <c r="D305" s="1"/>
      <c r="E305" s="1"/>
      <c r="F305" s="1"/>
      <c r="G305" s="1"/>
      <c r="H305" s="1"/>
      <c r="M305" s="1"/>
    </row>
    <row r="306">
      <c r="B306" s="1"/>
      <c r="C306" s="1"/>
      <c r="D306" s="1"/>
      <c r="E306" s="1"/>
      <c r="F306" s="1"/>
      <c r="G306" s="1"/>
      <c r="H306" s="1"/>
      <c r="M306" s="1"/>
    </row>
    <row r="307">
      <c r="B307" s="1"/>
      <c r="C307" s="1"/>
      <c r="D307" s="1"/>
      <c r="E307" s="1"/>
      <c r="F307" s="1"/>
      <c r="G307" s="1"/>
      <c r="H307" s="1"/>
      <c r="M307" s="1"/>
    </row>
    <row r="308">
      <c r="B308" s="1"/>
      <c r="C308" s="1"/>
      <c r="D308" s="1"/>
      <c r="E308" s="1"/>
      <c r="F308" s="1"/>
      <c r="G308" s="1"/>
      <c r="H308" s="1"/>
      <c r="M308" s="1"/>
    </row>
    <row r="309">
      <c r="B309" s="1"/>
      <c r="C309" s="1"/>
      <c r="D309" s="1"/>
      <c r="E309" s="1"/>
      <c r="F309" s="1"/>
      <c r="G309" s="1"/>
      <c r="H309" s="1"/>
      <c r="M309" s="1"/>
    </row>
    <row r="310">
      <c r="B310" s="1"/>
      <c r="C310" s="1"/>
      <c r="D310" s="1"/>
      <c r="E310" s="1"/>
      <c r="F310" s="1"/>
      <c r="G310" s="1"/>
      <c r="H310" s="1"/>
      <c r="M310" s="1"/>
    </row>
    <row r="311">
      <c r="B311" s="1"/>
      <c r="C311" s="1"/>
      <c r="D311" s="1"/>
      <c r="E311" s="1"/>
      <c r="F311" s="1"/>
      <c r="G311" s="1"/>
      <c r="H311" s="1"/>
      <c r="M311" s="1"/>
    </row>
    <row r="312">
      <c r="B312" s="1"/>
      <c r="C312" s="1"/>
      <c r="D312" s="1"/>
      <c r="E312" s="1"/>
      <c r="F312" s="1"/>
      <c r="G312" s="1"/>
      <c r="H312" s="1"/>
      <c r="M312" s="1"/>
    </row>
    <row r="313">
      <c r="B313" s="1"/>
      <c r="C313" s="1"/>
      <c r="D313" s="1"/>
      <c r="E313" s="1"/>
      <c r="F313" s="1"/>
      <c r="G313" s="1"/>
      <c r="H313" s="1"/>
      <c r="M313" s="1"/>
    </row>
    <row r="314">
      <c r="B314" s="1"/>
      <c r="C314" s="1"/>
      <c r="D314" s="1"/>
      <c r="E314" s="1"/>
      <c r="F314" s="1"/>
      <c r="G314" s="1"/>
      <c r="H314" s="1"/>
      <c r="M314" s="1"/>
    </row>
    <row r="315">
      <c r="B315" s="1"/>
      <c r="C315" s="1"/>
      <c r="D315" s="1"/>
      <c r="E315" s="1"/>
      <c r="F315" s="1"/>
      <c r="G315" s="1"/>
      <c r="H315" s="1"/>
      <c r="M315" s="1"/>
    </row>
    <row r="316">
      <c r="B316" s="1"/>
      <c r="C316" s="1"/>
      <c r="D316" s="1"/>
      <c r="E316" s="1"/>
      <c r="F316" s="1"/>
      <c r="G316" s="1"/>
      <c r="H316" s="1"/>
      <c r="M316" s="1"/>
    </row>
    <row r="317">
      <c r="B317" s="1"/>
      <c r="C317" s="1"/>
      <c r="D317" s="1"/>
      <c r="E317" s="1"/>
      <c r="F317" s="1"/>
      <c r="G317" s="1"/>
      <c r="H317" s="1"/>
      <c r="M317" s="1"/>
    </row>
    <row r="318">
      <c r="B318" s="1"/>
      <c r="C318" s="1"/>
      <c r="D318" s="1"/>
      <c r="E318" s="1"/>
      <c r="F318" s="1"/>
      <c r="G318" s="1"/>
      <c r="H318" s="1"/>
      <c r="M318" s="1"/>
    </row>
    <row r="319">
      <c r="B319" s="1"/>
      <c r="C319" s="1"/>
      <c r="D319" s="1"/>
      <c r="E319" s="1"/>
      <c r="F319" s="1"/>
      <c r="G319" s="1"/>
      <c r="H319" s="1"/>
      <c r="M319" s="1"/>
    </row>
    <row r="320">
      <c r="B320" s="1"/>
      <c r="C320" s="1"/>
      <c r="D320" s="1"/>
      <c r="E320" s="1"/>
      <c r="F320" s="1"/>
      <c r="G320" s="1"/>
      <c r="H320" s="1"/>
      <c r="M320" s="1"/>
    </row>
    <row r="321">
      <c r="B321" s="1"/>
      <c r="C321" s="1"/>
      <c r="D321" s="1"/>
      <c r="E321" s="1"/>
      <c r="F321" s="1"/>
      <c r="G321" s="1"/>
      <c r="H321" s="1"/>
      <c r="M321" s="1"/>
    </row>
    <row r="322">
      <c r="B322" s="1"/>
      <c r="C322" s="1"/>
      <c r="D322" s="1"/>
      <c r="E322" s="1"/>
      <c r="F322" s="1"/>
      <c r="G322" s="1"/>
      <c r="H322" s="1"/>
      <c r="M322" s="1"/>
    </row>
    <row r="323">
      <c r="B323" s="1"/>
      <c r="C323" s="1"/>
      <c r="D323" s="1"/>
      <c r="E323" s="1"/>
      <c r="F323" s="1"/>
      <c r="G323" s="1"/>
      <c r="H323" s="1"/>
      <c r="M323" s="1"/>
    </row>
    <row r="324">
      <c r="B324" s="1"/>
      <c r="C324" s="1"/>
      <c r="D324" s="1"/>
      <c r="E324" s="1"/>
      <c r="F324" s="1"/>
      <c r="G324" s="1"/>
      <c r="H324" s="1"/>
      <c r="M324" s="1"/>
    </row>
    <row r="325">
      <c r="B325" s="1"/>
      <c r="C325" s="1"/>
      <c r="D325" s="1"/>
      <c r="E325" s="1"/>
      <c r="F325" s="1"/>
      <c r="G325" s="1"/>
      <c r="H325" s="1"/>
      <c r="M325" s="1"/>
    </row>
    <row r="326">
      <c r="B326" s="1"/>
      <c r="C326" s="1"/>
      <c r="D326" s="1"/>
      <c r="E326" s="1"/>
      <c r="F326" s="1"/>
      <c r="G326" s="1"/>
      <c r="H326" s="1"/>
      <c r="M326" s="1"/>
    </row>
    <row r="327">
      <c r="B327" s="1"/>
      <c r="C327" s="1"/>
      <c r="D327" s="1"/>
      <c r="E327" s="1"/>
      <c r="F327" s="1"/>
      <c r="G327" s="1"/>
      <c r="H327" s="1"/>
      <c r="M327" s="1"/>
    </row>
    <row r="328">
      <c r="B328" s="1"/>
      <c r="C328" s="1"/>
      <c r="D328" s="1"/>
      <c r="E328" s="1"/>
      <c r="F328" s="1"/>
      <c r="G328" s="1"/>
      <c r="H328" s="1"/>
      <c r="M328" s="1"/>
    </row>
    <row r="329">
      <c r="B329" s="1"/>
      <c r="C329" s="1"/>
      <c r="D329" s="1"/>
      <c r="E329" s="1"/>
      <c r="F329" s="1"/>
      <c r="G329" s="1"/>
      <c r="H329" s="1"/>
      <c r="M329" s="1"/>
    </row>
    <row r="330">
      <c r="B330" s="1"/>
      <c r="C330" s="1"/>
      <c r="D330" s="1"/>
      <c r="E330" s="1"/>
      <c r="F330" s="1"/>
      <c r="G330" s="1"/>
      <c r="H330" s="1"/>
      <c r="M330" s="1"/>
    </row>
    <row r="331">
      <c r="B331" s="1"/>
      <c r="C331" s="1"/>
      <c r="D331" s="1"/>
      <c r="E331" s="1"/>
      <c r="F331" s="1"/>
      <c r="G331" s="1"/>
      <c r="H331" s="1"/>
      <c r="M331" s="1"/>
    </row>
    <row r="332">
      <c r="B332" s="1"/>
      <c r="C332" s="1"/>
      <c r="D332" s="1"/>
      <c r="E332" s="1"/>
      <c r="F332" s="1"/>
      <c r="G332" s="1"/>
      <c r="H332" s="1"/>
      <c r="M332" s="1"/>
    </row>
    <row r="333">
      <c r="B333" s="1"/>
      <c r="C333" s="1"/>
      <c r="D333" s="1"/>
      <c r="E333" s="1"/>
      <c r="F333" s="1"/>
      <c r="G333" s="1"/>
      <c r="H333" s="1"/>
      <c r="M333" s="1"/>
    </row>
    <row r="334">
      <c r="B334" s="1"/>
      <c r="C334" s="1"/>
      <c r="D334" s="1"/>
      <c r="E334" s="1"/>
      <c r="F334" s="1"/>
      <c r="G334" s="1"/>
      <c r="H334" s="1"/>
      <c r="M334" s="1"/>
    </row>
    <row r="335">
      <c r="B335" s="1"/>
      <c r="C335" s="1"/>
      <c r="D335" s="1"/>
      <c r="E335" s="1"/>
      <c r="F335" s="1"/>
      <c r="G335" s="1"/>
      <c r="H335" s="1"/>
      <c r="M335" s="1"/>
    </row>
    <row r="336">
      <c r="B336" s="1"/>
      <c r="C336" s="1"/>
      <c r="D336" s="1"/>
      <c r="E336" s="1"/>
      <c r="F336" s="1"/>
      <c r="G336" s="1"/>
      <c r="H336" s="1"/>
      <c r="M336" s="1"/>
    </row>
    <row r="337">
      <c r="B337" s="1"/>
      <c r="C337" s="1"/>
      <c r="D337" s="1"/>
      <c r="E337" s="1"/>
      <c r="F337" s="1"/>
      <c r="G337" s="1"/>
      <c r="H337" s="1"/>
      <c r="M337" s="1"/>
    </row>
    <row r="338">
      <c r="B338" s="1"/>
      <c r="C338" s="1"/>
      <c r="D338" s="1"/>
      <c r="E338" s="1"/>
      <c r="F338" s="1"/>
      <c r="G338" s="1"/>
      <c r="H338" s="1"/>
      <c r="M338" s="1"/>
    </row>
    <row r="339">
      <c r="B339" s="1"/>
      <c r="C339" s="1"/>
      <c r="D339" s="1"/>
      <c r="E339" s="1"/>
      <c r="F339" s="1"/>
      <c r="G339" s="1"/>
      <c r="H339" s="1"/>
      <c r="M339" s="1"/>
    </row>
    <row r="340">
      <c r="B340" s="1"/>
      <c r="C340" s="1"/>
      <c r="D340" s="1"/>
      <c r="E340" s="1"/>
      <c r="F340" s="1"/>
      <c r="G340" s="1"/>
      <c r="H340" s="1"/>
      <c r="M340" s="1"/>
    </row>
    <row r="341">
      <c r="B341" s="1"/>
      <c r="C341" s="1"/>
      <c r="D341" s="1"/>
      <c r="E341" s="1"/>
      <c r="F341" s="1"/>
      <c r="G341" s="1"/>
      <c r="H341" s="1"/>
      <c r="M341" s="1"/>
    </row>
    <row r="342">
      <c r="B342" s="1"/>
      <c r="C342" s="1"/>
      <c r="D342" s="1"/>
      <c r="E342" s="1"/>
      <c r="F342" s="1"/>
      <c r="G342" s="1"/>
      <c r="H342" s="1"/>
      <c r="M342" s="1"/>
    </row>
    <row r="343">
      <c r="B343" s="1"/>
      <c r="C343" s="1"/>
      <c r="D343" s="1"/>
      <c r="E343" s="1"/>
      <c r="F343" s="1"/>
      <c r="G343" s="1"/>
      <c r="H343" s="1"/>
      <c r="M343" s="1"/>
    </row>
    <row r="344">
      <c r="B344" s="1"/>
      <c r="C344" s="1"/>
      <c r="D344" s="1"/>
      <c r="E344" s="1"/>
      <c r="F344" s="1"/>
      <c r="G344" s="1"/>
      <c r="H344" s="1"/>
      <c r="M344" s="1"/>
    </row>
    <row r="345">
      <c r="B345" s="1"/>
      <c r="C345" s="1"/>
      <c r="D345" s="1"/>
      <c r="E345" s="1"/>
      <c r="F345" s="1"/>
      <c r="G345" s="1"/>
      <c r="H345" s="1"/>
      <c r="M345" s="1"/>
    </row>
    <row r="346">
      <c r="B346" s="1"/>
      <c r="C346" s="1"/>
      <c r="D346" s="1"/>
      <c r="E346" s="1"/>
      <c r="F346" s="1"/>
      <c r="G346" s="1"/>
      <c r="H346" s="1"/>
      <c r="M346" s="1"/>
    </row>
    <row r="347">
      <c r="B347" s="1"/>
      <c r="C347" s="1"/>
      <c r="D347" s="1"/>
      <c r="E347" s="1"/>
      <c r="F347" s="1"/>
      <c r="G347" s="1"/>
      <c r="H347" s="1"/>
      <c r="M347" s="1"/>
    </row>
    <row r="348">
      <c r="B348" s="1"/>
      <c r="C348" s="1"/>
      <c r="D348" s="1"/>
      <c r="E348" s="1"/>
      <c r="F348" s="1"/>
      <c r="G348" s="1"/>
      <c r="H348" s="1"/>
      <c r="M348" s="1"/>
    </row>
    <row r="349">
      <c r="B349" s="1"/>
      <c r="C349" s="1"/>
      <c r="D349" s="1"/>
      <c r="E349" s="1"/>
      <c r="F349" s="1"/>
      <c r="G349" s="1"/>
      <c r="H349" s="1"/>
      <c r="M349" s="1"/>
    </row>
    <row r="350">
      <c r="B350" s="1"/>
      <c r="C350" s="1"/>
      <c r="D350" s="1"/>
      <c r="E350" s="1"/>
      <c r="F350" s="1"/>
      <c r="G350" s="1"/>
      <c r="H350" s="1"/>
      <c r="M350" s="1"/>
    </row>
    <row r="351">
      <c r="B351" s="1"/>
      <c r="C351" s="1"/>
      <c r="D351" s="1"/>
      <c r="E351" s="1"/>
      <c r="F351" s="1"/>
      <c r="G351" s="1"/>
      <c r="H351" s="1"/>
      <c r="M351" s="1"/>
    </row>
    <row r="352">
      <c r="B352" s="1"/>
      <c r="C352" s="1"/>
      <c r="D352" s="1"/>
      <c r="E352" s="1"/>
      <c r="F352" s="1"/>
      <c r="G352" s="1"/>
      <c r="H352" s="1"/>
      <c r="M352" s="1"/>
    </row>
    <row r="353">
      <c r="B353" s="1"/>
      <c r="C353" s="1"/>
      <c r="D353" s="1"/>
      <c r="E353" s="1"/>
      <c r="F353" s="1"/>
      <c r="G353" s="1"/>
      <c r="H353" s="1"/>
      <c r="M353" s="1"/>
    </row>
    <row r="354">
      <c r="B354" s="1"/>
      <c r="C354" s="1"/>
      <c r="D354" s="1"/>
      <c r="E354" s="1"/>
      <c r="F354" s="1"/>
      <c r="G354" s="1"/>
      <c r="H354" s="1"/>
      <c r="M354" s="1"/>
    </row>
    <row r="355">
      <c r="B355" s="1"/>
      <c r="C355" s="1"/>
      <c r="D355" s="1"/>
      <c r="E355" s="1"/>
      <c r="F355" s="1"/>
      <c r="G355" s="1"/>
      <c r="H355" s="1"/>
      <c r="M355" s="1"/>
    </row>
    <row r="356">
      <c r="B356" s="1"/>
      <c r="C356" s="1"/>
      <c r="D356" s="1"/>
      <c r="E356" s="1"/>
      <c r="F356" s="1"/>
      <c r="G356" s="1"/>
      <c r="H356" s="1"/>
      <c r="M356" s="1"/>
    </row>
    <row r="357">
      <c r="B357" s="1"/>
      <c r="C357" s="1"/>
      <c r="D357" s="1"/>
      <c r="E357" s="1"/>
      <c r="F357" s="1"/>
      <c r="G357" s="1"/>
      <c r="H357" s="1"/>
      <c r="M357" s="1"/>
    </row>
    <row r="358">
      <c r="B358" s="1"/>
      <c r="C358" s="1"/>
      <c r="D358" s="1"/>
      <c r="E358" s="1"/>
      <c r="F358" s="1"/>
      <c r="G358" s="1"/>
      <c r="H358" s="1"/>
      <c r="M358" s="1"/>
    </row>
    <row r="359">
      <c r="B359" s="1"/>
      <c r="C359" s="1"/>
      <c r="D359" s="1"/>
      <c r="E359" s="1"/>
      <c r="F359" s="1"/>
      <c r="G359" s="1"/>
      <c r="H359" s="1"/>
      <c r="M359" s="1"/>
    </row>
    <row r="360">
      <c r="B360" s="1"/>
      <c r="C360" s="1"/>
      <c r="D360" s="1"/>
      <c r="E360" s="1"/>
      <c r="F360" s="1"/>
      <c r="G360" s="1"/>
      <c r="H360" s="1"/>
      <c r="M360" s="1"/>
    </row>
    <row r="361">
      <c r="B361" s="1"/>
      <c r="C361" s="1"/>
      <c r="D361" s="1"/>
      <c r="E361" s="1"/>
      <c r="F361" s="1"/>
      <c r="G361" s="1"/>
      <c r="H361" s="1"/>
      <c r="M361" s="1"/>
    </row>
    <row r="362">
      <c r="B362" s="1"/>
      <c r="C362" s="1"/>
      <c r="D362" s="1"/>
      <c r="E362" s="1"/>
      <c r="F362" s="1"/>
      <c r="G362" s="1"/>
      <c r="H362" s="1"/>
      <c r="M362" s="1"/>
    </row>
    <row r="363">
      <c r="B363" s="1"/>
      <c r="C363" s="1"/>
      <c r="D363" s="1"/>
      <c r="E363" s="1"/>
      <c r="F363" s="1"/>
      <c r="G363" s="1"/>
      <c r="H363" s="1"/>
      <c r="M363" s="1"/>
    </row>
    <row r="364">
      <c r="B364" s="1"/>
      <c r="C364" s="1"/>
      <c r="D364" s="1"/>
      <c r="E364" s="1"/>
      <c r="F364" s="1"/>
      <c r="G364" s="1"/>
      <c r="H364" s="1"/>
      <c r="M364" s="1"/>
    </row>
    <row r="365">
      <c r="B365" s="1"/>
      <c r="C365" s="1"/>
      <c r="D365" s="1"/>
      <c r="E365" s="1"/>
      <c r="F365" s="1"/>
      <c r="G365" s="1"/>
      <c r="H365" s="1"/>
      <c r="M365" s="1"/>
    </row>
    <row r="366">
      <c r="B366" s="1"/>
      <c r="C366" s="1"/>
      <c r="D366" s="1"/>
      <c r="E366" s="1"/>
      <c r="F366" s="1"/>
      <c r="G366" s="1"/>
      <c r="H366" s="1"/>
      <c r="M366" s="1"/>
    </row>
    <row r="367">
      <c r="B367" s="1"/>
      <c r="C367" s="1"/>
      <c r="D367" s="1"/>
      <c r="E367" s="1"/>
      <c r="F367" s="1"/>
      <c r="G367" s="1"/>
      <c r="H367" s="1"/>
      <c r="M367" s="1"/>
    </row>
    <row r="368">
      <c r="B368" s="1"/>
      <c r="C368" s="1"/>
      <c r="D368" s="1"/>
      <c r="E368" s="1"/>
      <c r="F368" s="1"/>
      <c r="G368" s="1"/>
      <c r="H368" s="1"/>
      <c r="M368" s="1"/>
    </row>
    <row r="369">
      <c r="B369" s="1"/>
      <c r="C369" s="1"/>
      <c r="D369" s="1"/>
      <c r="E369" s="1"/>
      <c r="F369" s="1"/>
      <c r="G369" s="1"/>
      <c r="H369" s="1"/>
      <c r="M369" s="1"/>
    </row>
    <row r="370">
      <c r="B370" s="1"/>
      <c r="C370" s="1"/>
      <c r="D370" s="1"/>
      <c r="E370" s="1"/>
      <c r="F370" s="1"/>
      <c r="G370" s="1"/>
      <c r="H370" s="1"/>
      <c r="M370" s="1"/>
    </row>
    <row r="371">
      <c r="B371" s="1"/>
      <c r="C371" s="1"/>
      <c r="D371" s="1"/>
      <c r="E371" s="1"/>
      <c r="F371" s="1"/>
      <c r="G371" s="1"/>
      <c r="H371" s="1"/>
      <c r="M371" s="1"/>
    </row>
    <row r="372">
      <c r="B372" s="1"/>
      <c r="C372" s="1"/>
      <c r="D372" s="1"/>
      <c r="E372" s="1"/>
      <c r="F372" s="1"/>
      <c r="G372" s="1"/>
      <c r="H372" s="1"/>
      <c r="M372" s="1"/>
    </row>
    <row r="373">
      <c r="B373" s="1"/>
      <c r="C373" s="1"/>
      <c r="D373" s="1"/>
      <c r="E373" s="1"/>
      <c r="F373" s="1"/>
      <c r="G373" s="1"/>
      <c r="H373" s="1"/>
      <c r="M373" s="1"/>
    </row>
    <row r="374">
      <c r="B374" s="1"/>
      <c r="C374" s="1"/>
      <c r="D374" s="1"/>
      <c r="E374" s="1"/>
      <c r="F374" s="1"/>
      <c r="G374" s="1"/>
      <c r="H374" s="1"/>
      <c r="M374" s="1"/>
    </row>
    <row r="375">
      <c r="B375" s="1"/>
      <c r="C375" s="1"/>
      <c r="D375" s="1"/>
      <c r="E375" s="1"/>
      <c r="F375" s="1"/>
      <c r="G375" s="1"/>
      <c r="H375" s="1"/>
      <c r="M375" s="1"/>
    </row>
    <row r="376">
      <c r="B376" s="1"/>
      <c r="C376" s="1"/>
      <c r="D376" s="1"/>
      <c r="E376" s="1"/>
      <c r="F376" s="1"/>
      <c r="G376" s="1"/>
      <c r="H376" s="1"/>
      <c r="M376" s="1"/>
    </row>
    <row r="377">
      <c r="B377" s="1"/>
      <c r="C377" s="1"/>
      <c r="D377" s="1"/>
      <c r="E377" s="1"/>
      <c r="F377" s="1"/>
      <c r="G377" s="1"/>
      <c r="H377" s="1"/>
      <c r="M377" s="1"/>
    </row>
    <row r="378">
      <c r="B378" s="1"/>
      <c r="C378" s="1"/>
      <c r="D378" s="1"/>
      <c r="E378" s="1"/>
      <c r="F378" s="1"/>
      <c r="G378" s="1"/>
      <c r="H378" s="1"/>
      <c r="M378" s="1"/>
    </row>
    <row r="379">
      <c r="B379" s="1"/>
      <c r="C379" s="1"/>
      <c r="D379" s="1"/>
      <c r="E379" s="1"/>
      <c r="F379" s="1"/>
      <c r="G379" s="1"/>
      <c r="H379" s="1"/>
      <c r="M379" s="1"/>
    </row>
    <row r="380">
      <c r="B380" s="1"/>
      <c r="C380" s="1"/>
      <c r="D380" s="1"/>
      <c r="E380" s="1"/>
      <c r="F380" s="1"/>
      <c r="G380" s="1"/>
      <c r="H380" s="1"/>
      <c r="M380" s="1"/>
    </row>
    <row r="381">
      <c r="B381" s="1"/>
      <c r="C381" s="1"/>
      <c r="D381" s="1"/>
      <c r="E381" s="1"/>
      <c r="F381" s="1"/>
      <c r="G381" s="1"/>
      <c r="H381" s="1"/>
      <c r="M381" s="1"/>
    </row>
    <row r="382">
      <c r="B382" s="1"/>
      <c r="C382" s="1"/>
      <c r="D382" s="1"/>
      <c r="E382" s="1"/>
      <c r="F382" s="1"/>
      <c r="G382" s="1"/>
      <c r="H382" s="1"/>
      <c r="M382" s="1"/>
    </row>
    <row r="383">
      <c r="B383" s="1"/>
      <c r="C383" s="1"/>
      <c r="D383" s="1"/>
      <c r="E383" s="1"/>
      <c r="F383" s="1"/>
      <c r="G383" s="1"/>
      <c r="H383" s="1"/>
      <c r="M383" s="1"/>
    </row>
    <row r="384">
      <c r="B384" s="1"/>
      <c r="C384" s="1"/>
      <c r="D384" s="1"/>
      <c r="E384" s="1"/>
      <c r="F384" s="1"/>
      <c r="G384" s="1"/>
      <c r="H384" s="1"/>
      <c r="M384" s="1"/>
    </row>
    <row r="385">
      <c r="B385" s="1"/>
      <c r="C385" s="1"/>
      <c r="D385" s="1"/>
      <c r="E385" s="1"/>
      <c r="F385" s="1"/>
      <c r="G385" s="1"/>
      <c r="H385" s="1"/>
      <c r="M385" s="1"/>
    </row>
    <row r="386">
      <c r="B386" s="1"/>
      <c r="C386" s="1"/>
      <c r="D386" s="1"/>
      <c r="E386" s="1"/>
      <c r="F386" s="1"/>
      <c r="G386" s="1"/>
      <c r="H386" s="1"/>
      <c r="M386" s="1"/>
    </row>
    <row r="387">
      <c r="B387" s="1"/>
      <c r="C387" s="1"/>
      <c r="D387" s="1"/>
      <c r="E387" s="1"/>
      <c r="F387" s="1"/>
      <c r="G387" s="1"/>
      <c r="H387" s="1"/>
      <c r="M387" s="1"/>
    </row>
    <row r="388">
      <c r="B388" s="1"/>
      <c r="C388" s="1"/>
      <c r="D388" s="1"/>
      <c r="E388" s="1"/>
      <c r="F388" s="1"/>
      <c r="G388" s="1"/>
      <c r="H388" s="1"/>
      <c r="M388" s="1"/>
    </row>
    <row r="389">
      <c r="B389" s="1"/>
      <c r="C389" s="1"/>
      <c r="D389" s="1"/>
      <c r="E389" s="1"/>
      <c r="F389" s="1"/>
      <c r="G389" s="1"/>
      <c r="H389" s="1"/>
      <c r="M389" s="1"/>
    </row>
    <row r="390">
      <c r="B390" s="1"/>
      <c r="C390" s="1"/>
      <c r="D390" s="1"/>
      <c r="E390" s="1"/>
      <c r="F390" s="1"/>
      <c r="G390" s="1"/>
      <c r="H390" s="1"/>
      <c r="M390" s="1"/>
    </row>
    <row r="391">
      <c r="B391" s="1"/>
      <c r="C391" s="1"/>
      <c r="D391" s="1"/>
      <c r="E391" s="1"/>
      <c r="F391" s="1"/>
      <c r="G391" s="1"/>
      <c r="H391" s="1"/>
      <c r="M391" s="1"/>
    </row>
    <row r="392">
      <c r="B392" s="1"/>
      <c r="C392" s="1"/>
      <c r="D392" s="1"/>
      <c r="E392" s="1"/>
      <c r="F392" s="1"/>
      <c r="G392" s="1"/>
      <c r="H392" s="1"/>
      <c r="M392" s="1"/>
    </row>
    <row r="393">
      <c r="B393" s="1"/>
      <c r="C393" s="1"/>
      <c r="D393" s="1"/>
      <c r="E393" s="1"/>
      <c r="F393" s="1"/>
      <c r="G393" s="1"/>
      <c r="H393" s="1"/>
      <c r="M393" s="1"/>
    </row>
    <row r="394">
      <c r="B394" s="1"/>
      <c r="C394" s="1"/>
      <c r="D394" s="1"/>
      <c r="E394" s="1"/>
      <c r="F394" s="1"/>
      <c r="G394" s="1"/>
      <c r="H394" s="1"/>
      <c r="M394" s="1"/>
    </row>
    <row r="395">
      <c r="B395" s="1"/>
      <c r="C395" s="1"/>
      <c r="D395" s="1"/>
      <c r="E395" s="1"/>
      <c r="F395" s="1"/>
      <c r="G395" s="1"/>
      <c r="H395" s="1"/>
      <c r="M395" s="1"/>
    </row>
    <row r="396">
      <c r="B396" s="1"/>
      <c r="C396" s="1"/>
      <c r="D396" s="1"/>
      <c r="E396" s="1"/>
      <c r="F396" s="1"/>
      <c r="G396" s="1"/>
      <c r="H396" s="1"/>
      <c r="M396" s="1"/>
    </row>
    <row r="397">
      <c r="B397" s="1"/>
      <c r="C397" s="1"/>
      <c r="D397" s="1"/>
      <c r="E397" s="1"/>
      <c r="F397" s="1"/>
      <c r="G397" s="1"/>
      <c r="H397" s="1"/>
      <c r="M397" s="1"/>
    </row>
    <row r="398">
      <c r="B398" s="1"/>
      <c r="C398" s="1"/>
      <c r="D398" s="1"/>
      <c r="E398" s="1"/>
      <c r="F398" s="1"/>
      <c r="G398" s="1"/>
      <c r="H398" s="1"/>
      <c r="M398" s="1"/>
    </row>
    <row r="399">
      <c r="B399" s="1"/>
      <c r="C399" s="1"/>
      <c r="D399" s="1"/>
      <c r="E399" s="1"/>
      <c r="F399" s="1"/>
      <c r="G399" s="1"/>
      <c r="H399" s="1"/>
      <c r="M399" s="1"/>
    </row>
    <row r="400">
      <c r="B400" s="1"/>
      <c r="C400" s="1"/>
      <c r="D400" s="1"/>
      <c r="E400" s="1"/>
      <c r="F400" s="1"/>
      <c r="G400" s="1"/>
      <c r="H400" s="1"/>
      <c r="M400" s="1"/>
    </row>
    <row r="401">
      <c r="B401" s="1"/>
      <c r="C401" s="1"/>
      <c r="D401" s="1"/>
      <c r="E401" s="1"/>
      <c r="F401" s="1"/>
      <c r="G401" s="1"/>
      <c r="H401" s="1"/>
      <c r="M401" s="1"/>
    </row>
    <row r="402">
      <c r="B402" s="1"/>
      <c r="C402" s="1"/>
      <c r="D402" s="1"/>
      <c r="E402" s="1"/>
      <c r="F402" s="1"/>
      <c r="G402" s="1"/>
      <c r="H402" s="1"/>
      <c r="M402" s="1"/>
    </row>
    <row r="403">
      <c r="B403" s="1"/>
      <c r="C403" s="1"/>
      <c r="D403" s="1"/>
      <c r="E403" s="1"/>
      <c r="F403" s="1"/>
      <c r="G403" s="1"/>
      <c r="H403" s="1"/>
      <c r="M403" s="1"/>
    </row>
    <row r="404">
      <c r="B404" s="1"/>
      <c r="C404" s="1"/>
      <c r="D404" s="1"/>
      <c r="E404" s="1"/>
      <c r="F404" s="1"/>
      <c r="G404" s="1"/>
      <c r="H404" s="1"/>
      <c r="M404" s="1"/>
    </row>
    <row r="405">
      <c r="B405" s="1"/>
      <c r="C405" s="1"/>
      <c r="D405" s="1"/>
      <c r="E405" s="1"/>
      <c r="F405" s="1"/>
      <c r="G405" s="1"/>
      <c r="H405" s="1"/>
      <c r="M405" s="1"/>
    </row>
    <row r="406">
      <c r="B406" s="1"/>
      <c r="C406" s="1"/>
      <c r="D406" s="1"/>
      <c r="E406" s="1"/>
      <c r="F406" s="1"/>
      <c r="G406" s="1"/>
      <c r="H406" s="1"/>
      <c r="M406" s="1"/>
    </row>
    <row r="407">
      <c r="B407" s="1"/>
      <c r="C407" s="1"/>
      <c r="D407" s="1"/>
      <c r="E407" s="1"/>
      <c r="F407" s="1"/>
      <c r="G407" s="1"/>
      <c r="H407" s="1"/>
      <c r="M407" s="1"/>
    </row>
    <row r="408">
      <c r="B408" s="1"/>
      <c r="C408" s="1"/>
      <c r="D408" s="1"/>
      <c r="E408" s="1"/>
      <c r="F408" s="1"/>
      <c r="G408" s="1"/>
      <c r="H408" s="1"/>
      <c r="M408" s="1"/>
    </row>
    <row r="409">
      <c r="B409" s="1"/>
      <c r="C409" s="1"/>
      <c r="D409" s="1"/>
      <c r="E409" s="1"/>
      <c r="F409" s="1"/>
      <c r="G409" s="1"/>
      <c r="H409" s="1"/>
      <c r="M409" s="1"/>
    </row>
    <row r="410">
      <c r="B410" s="1"/>
      <c r="C410" s="1"/>
      <c r="D410" s="1"/>
      <c r="E410" s="1"/>
      <c r="F410" s="1"/>
      <c r="G410" s="1"/>
      <c r="H410" s="1"/>
      <c r="M410" s="1"/>
    </row>
    <row r="411">
      <c r="B411" s="1"/>
      <c r="C411" s="1"/>
      <c r="D411" s="1"/>
      <c r="E411" s="1"/>
      <c r="F411" s="1"/>
      <c r="G411" s="1"/>
      <c r="H411" s="1"/>
      <c r="M411" s="1"/>
    </row>
    <row r="412">
      <c r="B412" s="1"/>
      <c r="C412" s="1"/>
      <c r="D412" s="1"/>
      <c r="E412" s="1"/>
      <c r="F412" s="1"/>
      <c r="G412" s="1"/>
      <c r="H412" s="1"/>
      <c r="M412" s="1"/>
    </row>
    <row r="413">
      <c r="B413" s="1"/>
      <c r="C413" s="1"/>
      <c r="D413" s="1"/>
      <c r="E413" s="1"/>
      <c r="F413" s="1"/>
      <c r="G413" s="1"/>
      <c r="H413" s="1"/>
      <c r="M413" s="1"/>
    </row>
    <row r="414">
      <c r="B414" s="1"/>
      <c r="C414" s="1"/>
      <c r="D414" s="1"/>
      <c r="E414" s="1"/>
      <c r="F414" s="1"/>
      <c r="G414" s="1"/>
      <c r="H414" s="1"/>
      <c r="M414" s="1"/>
    </row>
    <row r="415">
      <c r="B415" s="1"/>
      <c r="C415" s="1"/>
      <c r="D415" s="1"/>
      <c r="E415" s="1"/>
      <c r="F415" s="1"/>
      <c r="G415" s="1"/>
      <c r="H415" s="1"/>
      <c r="M415" s="1"/>
    </row>
    <row r="416">
      <c r="B416" s="1"/>
      <c r="C416" s="1"/>
      <c r="D416" s="1"/>
      <c r="E416" s="1"/>
      <c r="F416" s="1"/>
      <c r="G416" s="1"/>
      <c r="H416" s="1"/>
      <c r="M416" s="1"/>
    </row>
    <row r="417">
      <c r="B417" s="1"/>
      <c r="C417" s="1"/>
      <c r="D417" s="1"/>
      <c r="E417" s="1"/>
      <c r="F417" s="1"/>
      <c r="G417" s="1"/>
      <c r="H417" s="1"/>
      <c r="M417" s="1"/>
    </row>
    <row r="418">
      <c r="B418" s="1"/>
      <c r="C418" s="1"/>
      <c r="D418" s="1"/>
      <c r="E418" s="1"/>
      <c r="F418" s="1"/>
      <c r="G418" s="1"/>
      <c r="H418" s="1"/>
      <c r="M418" s="1"/>
    </row>
    <row r="419">
      <c r="B419" s="1"/>
      <c r="C419" s="1"/>
      <c r="D419" s="1"/>
      <c r="E419" s="1"/>
      <c r="F419" s="1"/>
      <c r="G419" s="1"/>
      <c r="H419" s="1"/>
      <c r="M419" s="1"/>
    </row>
    <row r="420">
      <c r="B420" s="1"/>
      <c r="C420" s="1"/>
      <c r="D420" s="1"/>
      <c r="E420" s="1"/>
      <c r="F420" s="1"/>
      <c r="G420" s="1"/>
      <c r="H420" s="1"/>
      <c r="M420" s="1"/>
    </row>
    <row r="421">
      <c r="B421" s="1"/>
      <c r="C421" s="1"/>
      <c r="D421" s="1"/>
      <c r="E421" s="1"/>
      <c r="F421" s="1"/>
      <c r="G421" s="1"/>
      <c r="H421" s="1"/>
      <c r="M421" s="1"/>
    </row>
    <row r="422">
      <c r="B422" s="1"/>
      <c r="C422" s="1"/>
      <c r="D422" s="1"/>
      <c r="E422" s="1"/>
      <c r="F422" s="1"/>
      <c r="G422" s="1"/>
      <c r="H422" s="1"/>
      <c r="M422" s="1"/>
    </row>
    <row r="423">
      <c r="B423" s="1"/>
      <c r="C423" s="1"/>
      <c r="D423" s="1"/>
      <c r="E423" s="1"/>
      <c r="F423" s="1"/>
      <c r="G423" s="1"/>
      <c r="H423" s="1"/>
      <c r="M423" s="1"/>
    </row>
    <row r="424">
      <c r="B424" s="1"/>
      <c r="C424" s="1"/>
      <c r="D424" s="1"/>
      <c r="E424" s="1"/>
      <c r="F424" s="1"/>
      <c r="G424" s="1"/>
      <c r="H424" s="1"/>
      <c r="M424" s="1"/>
    </row>
    <row r="425">
      <c r="B425" s="1"/>
      <c r="C425" s="1"/>
      <c r="D425" s="1"/>
      <c r="E425" s="1"/>
      <c r="F425" s="1"/>
      <c r="G425" s="1"/>
      <c r="H425" s="1"/>
      <c r="M425" s="1"/>
    </row>
    <row r="426">
      <c r="B426" s="1"/>
      <c r="C426" s="1"/>
      <c r="D426" s="1"/>
      <c r="E426" s="1"/>
      <c r="F426" s="1"/>
      <c r="G426" s="1"/>
      <c r="H426" s="1"/>
      <c r="M426" s="1"/>
    </row>
    <row r="427">
      <c r="B427" s="1"/>
      <c r="C427" s="1"/>
      <c r="D427" s="1"/>
      <c r="E427" s="1"/>
      <c r="F427" s="1"/>
      <c r="G427" s="1"/>
      <c r="H427" s="1"/>
      <c r="M427" s="1"/>
    </row>
    <row r="428">
      <c r="B428" s="1"/>
      <c r="C428" s="1"/>
      <c r="D428" s="1"/>
      <c r="E428" s="1"/>
      <c r="F428" s="1"/>
      <c r="G428" s="1"/>
      <c r="H428" s="1"/>
      <c r="M428" s="1"/>
    </row>
    <row r="429">
      <c r="B429" s="1"/>
      <c r="C429" s="1"/>
      <c r="D429" s="1"/>
      <c r="E429" s="1"/>
      <c r="F429" s="1"/>
      <c r="G429" s="1"/>
      <c r="H429" s="1"/>
      <c r="M429" s="1"/>
    </row>
    <row r="430">
      <c r="B430" s="1"/>
      <c r="C430" s="1"/>
      <c r="D430" s="1"/>
      <c r="E430" s="1"/>
      <c r="F430" s="1"/>
      <c r="G430" s="1"/>
      <c r="H430" s="1"/>
      <c r="M430" s="1"/>
    </row>
    <row r="431">
      <c r="B431" s="1"/>
      <c r="C431" s="1"/>
      <c r="D431" s="1"/>
      <c r="E431" s="1"/>
      <c r="F431" s="1"/>
      <c r="G431" s="1"/>
      <c r="H431" s="1"/>
      <c r="M431" s="1"/>
    </row>
    <row r="432">
      <c r="B432" s="1"/>
      <c r="C432" s="1"/>
      <c r="D432" s="1"/>
      <c r="E432" s="1"/>
      <c r="F432" s="1"/>
      <c r="G432" s="1"/>
      <c r="H432" s="1"/>
      <c r="M432" s="1"/>
    </row>
    <row r="433">
      <c r="B433" s="1"/>
      <c r="C433" s="1"/>
      <c r="D433" s="1"/>
      <c r="E433" s="1"/>
      <c r="F433" s="1"/>
      <c r="G433" s="1"/>
      <c r="H433" s="1"/>
      <c r="M433" s="1"/>
    </row>
    <row r="434">
      <c r="B434" s="1"/>
      <c r="C434" s="1"/>
      <c r="D434" s="1"/>
      <c r="E434" s="1"/>
      <c r="F434" s="1"/>
      <c r="G434" s="1"/>
      <c r="H434" s="1"/>
      <c r="M434" s="1"/>
    </row>
    <row r="435">
      <c r="B435" s="1"/>
      <c r="C435" s="1"/>
      <c r="D435" s="1"/>
      <c r="E435" s="1"/>
      <c r="F435" s="1"/>
      <c r="G435" s="1"/>
      <c r="H435" s="1"/>
      <c r="M435" s="1"/>
    </row>
    <row r="436">
      <c r="B436" s="1"/>
      <c r="C436" s="1"/>
      <c r="D436" s="1"/>
      <c r="E436" s="1"/>
      <c r="F436" s="1"/>
      <c r="G436" s="1"/>
      <c r="H436" s="1"/>
      <c r="M436" s="1"/>
    </row>
    <row r="437">
      <c r="B437" s="1"/>
      <c r="C437" s="1"/>
      <c r="D437" s="1"/>
      <c r="E437" s="1"/>
      <c r="F437" s="1"/>
      <c r="G437" s="1"/>
      <c r="H437" s="1"/>
      <c r="M437" s="1"/>
    </row>
    <row r="438">
      <c r="B438" s="1"/>
      <c r="C438" s="1"/>
      <c r="D438" s="1"/>
      <c r="E438" s="1"/>
      <c r="F438" s="1"/>
      <c r="G438" s="1"/>
      <c r="H438" s="1"/>
      <c r="M438" s="1"/>
    </row>
    <row r="439">
      <c r="B439" s="1"/>
      <c r="C439" s="1"/>
      <c r="D439" s="1"/>
      <c r="E439" s="1"/>
      <c r="F439" s="1"/>
      <c r="G439" s="1"/>
      <c r="H439" s="1"/>
      <c r="M439" s="1"/>
    </row>
    <row r="440">
      <c r="B440" s="1"/>
      <c r="C440" s="1"/>
      <c r="D440" s="1"/>
      <c r="E440" s="1"/>
      <c r="F440" s="1"/>
      <c r="G440" s="1"/>
      <c r="H440" s="1"/>
      <c r="M440" s="1"/>
    </row>
    <row r="441">
      <c r="B441" s="1"/>
      <c r="C441" s="1"/>
      <c r="D441" s="1"/>
      <c r="E441" s="1"/>
      <c r="F441" s="1"/>
      <c r="G441" s="1"/>
      <c r="H441" s="1"/>
      <c r="M441" s="1"/>
    </row>
    <row r="442">
      <c r="B442" s="1"/>
      <c r="C442" s="1"/>
      <c r="D442" s="1"/>
      <c r="E442" s="1"/>
      <c r="F442" s="1"/>
      <c r="G442" s="1"/>
      <c r="H442" s="1"/>
      <c r="M442" s="1"/>
    </row>
    <row r="443">
      <c r="B443" s="1"/>
      <c r="C443" s="1"/>
      <c r="D443" s="1"/>
      <c r="E443" s="1"/>
      <c r="F443" s="1"/>
      <c r="G443" s="1"/>
      <c r="H443" s="1"/>
      <c r="M443" s="1"/>
    </row>
    <row r="444">
      <c r="B444" s="1"/>
      <c r="C444" s="1"/>
      <c r="D444" s="1"/>
      <c r="E444" s="1"/>
      <c r="F444" s="1"/>
      <c r="G444" s="1"/>
      <c r="H444" s="1"/>
      <c r="M444" s="1"/>
    </row>
    <row r="445">
      <c r="B445" s="1"/>
      <c r="C445" s="1"/>
      <c r="D445" s="1"/>
      <c r="E445" s="1"/>
      <c r="F445" s="1"/>
      <c r="G445" s="1"/>
      <c r="H445" s="1"/>
      <c r="M445" s="1"/>
    </row>
    <row r="446">
      <c r="B446" s="1"/>
      <c r="C446" s="1"/>
      <c r="D446" s="1"/>
      <c r="E446" s="1"/>
      <c r="F446" s="1"/>
      <c r="G446" s="1"/>
      <c r="H446" s="1"/>
      <c r="M446" s="1"/>
    </row>
    <row r="447">
      <c r="B447" s="1"/>
      <c r="C447" s="1"/>
      <c r="D447" s="1"/>
      <c r="E447" s="1"/>
      <c r="F447" s="1"/>
      <c r="G447" s="1"/>
      <c r="H447" s="1"/>
      <c r="M447" s="1"/>
    </row>
    <row r="448">
      <c r="B448" s="1"/>
      <c r="C448" s="1"/>
      <c r="D448" s="1"/>
      <c r="E448" s="1"/>
      <c r="F448" s="1"/>
      <c r="G448" s="1"/>
      <c r="H448" s="1"/>
      <c r="M448" s="1"/>
    </row>
    <row r="449">
      <c r="B449" s="1"/>
      <c r="C449" s="1"/>
      <c r="D449" s="1"/>
      <c r="E449" s="1"/>
      <c r="F449" s="1"/>
      <c r="G449" s="1"/>
      <c r="H449" s="1"/>
      <c r="M449" s="1"/>
    </row>
    <row r="450">
      <c r="B450" s="1"/>
      <c r="C450" s="1"/>
      <c r="D450" s="1"/>
      <c r="E450" s="1"/>
      <c r="F450" s="1"/>
      <c r="G450" s="1"/>
      <c r="H450" s="1"/>
      <c r="M450" s="1"/>
    </row>
    <row r="451">
      <c r="B451" s="1"/>
      <c r="C451" s="1"/>
      <c r="D451" s="1"/>
      <c r="E451" s="1"/>
      <c r="F451" s="1"/>
      <c r="G451" s="1"/>
      <c r="H451" s="1"/>
      <c r="M451" s="1"/>
    </row>
    <row r="452">
      <c r="B452" s="1"/>
      <c r="C452" s="1"/>
      <c r="D452" s="1"/>
      <c r="E452" s="1"/>
      <c r="F452" s="1"/>
      <c r="G452" s="1"/>
      <c r="H452" s="1"/>
      <c r="M452" s="1"/>
    </row>
    <row r="453">
      <c r="B453" s="1"/>
      <c r="C453" s="1"/>
      <c r="D453" s="1"/>
      <c r="E453" s="1"/>
      <c r="F453" s="1"/>
      <c r="G453" s="1"/>
      <c r="H453" s="1"/>
      <c r="M453" s="1"/>
    </row>
    <row r="454">
      <c r="B454" s="1"/>
      <c r="C454" s="1"/>
      <c r="D454" s="1"/>
      <c r="E454" s="1"/>
      <c r="F454" s="1"/>
      <c r="G454" s="1"/>
      <c r="H454" s="1"/>
      <c r="M454" s="1"/>
    </row>
    <row r="455">
      <c r="B455" s="1"/>
      <c r="C455" s="1"/>
      <c r="D455" s="1"/>
      <c r="E455" s="1"/>
      <c r="F455" s="1"/>
      <c r="G455" s="1"/>
      <c r="H455" s="1"/>
      <c r="M455" s="1"/>
    </row>
    <row r="456">
      <c r="B456" s="1"/>
      <c r="C456" s="1"/>
      <c r="D456" s="1"/>
      <c r="E456" s="1"/>
      <c r="F456" s="1"/>
      <c r="G456" s="1"/>
      <c r="H456" s="1"/>
      <c r="M456" s="1"/>
    </row>
    <row r="457">
      <c r="B457" s="1"/>
      <c r="C457" s="1"/>
      <c r="D457" s="1"/>
      <c r="E457" s="1"/>
      <c r="F457" s="1"/>
      <c r="G457" s="1"/>
      <c r="H457" s="1"/>
      <c r="M457" s="1"/>
    </row>
    <row r="458">
      <c r="B458" s="1"/>
      <c r="C458" s="1"/>
      <c r="D458" s="1"/>
      <c r="E458" s="1"/>
      <c r="F458" s="1"/>
      <c r="G458" s="1"/>
      <c r="H458" s="1"/>
      <c r="M458" s="1"/>
    </row>
    <row r="459">
      <c r="B459" s="1"/>
      <c r="C459" s="1"/>
      <c r="D459" s="1"/>
      <c r="E459" s="1"/>
      <c r="F459" s="1"/>
      <c r="G459" s="1"/>
      <c r="H459" s="1"/>
      <c r="M459" s="1"/>
    </row>
    <row r="460">
      <c r="B460" s="1"/>
      <c r="C460" s="1"/>
      <c r="D460" s="1"/>
      <c r="E460" s="1"/>
      <c r="F460" s="1"/>
      <c r="G460" s="1"/>
      <c r="H460" s="1"/>
      <c r="M460" s="1"/>
    </row>
    <row r="461">
      <c r="B461" s="1"/>
      <c r="C461" s="1"/>
      <c r="D461" s="1"/>
      <c r="E461" s="1"/>
      <c r="F461" s="1"/>
      <c r="G461" s="1"/>
      <c r="H461" s="1"/>
      <c r="M461" s="1"/>
    </row>
    <row r="462">
      <c r="B462" s="1"/>
      <c r="C462" s="1"/>
      <c r="D462" s="1"/>
      <c r="E462" s="1"/>
      <c r="F462" s="1"/>
      <c r="G462" s="1"/>
      <c r="H462" s="1"/>
      <c r="M462" s="1"/>
    </row>
    <row r="463">
      <c r="B463" s="1"/>
      <c r="C463" s="1"/>
      <c r="D463" s="1"/>
      <c r="E463" s="1"/>
      <c r="F463" s="1"/>
      <c r="G463" s="1"/>
      <c r="H463" s="1"/>
      <c r="M463" s="1"/>
    </row>
    <row r="464">
      <c r="B464" s="1"/>
      <c r="C464" s="1"/>
      <c r="D464" s="1"/>
      <c r="E464" s="1"/>
      <c r="F464" s="1"/>
      <c r="G464" s="1"/>
      <c r="H464" s="1"/>
      <c r="M464" s="1"/>
    </row>
    <row r="465">
      <c r="B465" s="1"/>
      <c r="C465" s="1"/>
      <c r="D465" s="1"/>
      <c r="E465" s="1"/>
      <c r="F465" s="1"/>
      <c r="G465" s="1"/>
      <c r="H465" s="1"/>
      <c r="M465" s="1"/>
    </row>
    <row r="466">
      <c r="B466" s="1"/>
      <c r="C466" s="1"/>
      <c r="D466" s="1"/>
      <c r="E466" s="1"/>
      <c r="F466" s="1"/>
      <c r="G466" s="1"/>
      <c r="H466" s="1"/>
      <c r="M466" s="1"/>
    </row>
    <row r="467">
      <c r="B467" s="1"/>
      <c r="C467" s="1"/>
      <c r="D467" s="1"/>
      <c r="E467" s="1"/>
      <c r="F467" s="1"/>
      <c r="G467" s="1"/>
      <c r="H467" s="1"/>
      <c r="M467" s="1"/>
    </row>
    <row r="468">
      <c r="B468" s="1"/>
      <c r="C468" s="1"/>
      <c r="D468" s="1"/>
      <c r="E468" s="1"/>
      <c r="F468" s="1"/>
      <c r="G468" s="1"/>
      <c r="H468" s="1"/>
      <c r="M468" s="1"/>
    </row>
    <row r="469">
      <c r="B469" s="1"/>
      <c r="C469" s="1"/>
      <c r="D469" s="1"/>
      <c r="E469" s="1"/>
      <c r="F469" s="1"/>
      <c r="G469" s="1"/>
      <c r="H469" s="1"/>
      <c r="M469" s="1"/>
    </row>
    <row r="470">
      <c r="B470" s="1"/>
      <c r="C470" s="1"/>
      <c r="D470" s="1"/>
      <c r="E470" s="1"/>
      <c r="F470" s="1"/>
      <c r="G470" s="1"/>
      <c r="H470" s="1"/>
      <c r="M470" s="1"/>
    </row>
    <row r="471">
      <c r="B471" s="1"/>
      <c r="C471" s="1"/>
      <c r="D471" s="1"/>
      <c r="E471" s="1"/>
      <c r="F471" s="1"/>
      <c r="G471" s="1"/>
      <c r="H471" s="1"/>
      <c r="M471" s="1"/>
    </row>
    <row r="472">
      <c r="B472" s="1"/>
      <c r="C472" s="1"/>
      <c r="D472" s="1"/>
      <c r="E472" s="1"/>
      <c r="F472" s="1"/>
      <c r="G472" s="1"/>
      <c r="H472" s="1"/>
      <c r="M472" s="1"/>
    </row>
    <row r="473">
      <c r="B473" s="1"/>
      <c r="C473" s="1"/>
      <c r="D473" s="1"/>
      <c r="E473" s="1"/>
      <c r="F473" s="1"/>
      <c r="G473" s="1"/>
      <c r="H473" s="1"/>
      <c r="M473" s="1"/>
    </row>
    <row r="474">
      <c r="B474" s="1"/>
      <c r="C474" s="1"/>
      <c r="D474" s="1"/>
      <c r="E474" s="1"/>
      <c r="F474" s="1"/>
      <c r="G474" s="1"/>
      <c r="H474" s="1"/>
      <c r="M474" s="1"/>
    </row>
    <row r="475">
      <c r="B475" s="1"/>
      <c r="C475" s="1"/>
      <c r="D475" s="1"/>
      <c r="E475" s="1"/>
      <c r="F475" s="1"/>
      <c r="G475" s="1"/>
      <c r="H475" s="1"/>
      <c r="M475" s="1"/>
    </row>
    <row r="476">
      <c r="B476" s="1"/>
      <c r="C476" s="1"/>
      <c r="D476" s="1"/>
      <c r="E476" s="1"/>
      <c r="F476" s="1"/>
      <c r="G476" s="1"/>
      <c r="H476" s="1"/>
      <c r="M476" s="1"/>
    </row>
    <row r="477">
      <c r="B477" s="1"/>
      <c r="C477" s="1"/>
      <c r="D477" s="1"/>
      <c r="E477" s="1"/>
      <c r="F477" s="1"/>
      <c r="G477" s="1"/>
      <c r="H477" s="1"/>
      <c r="M477" s="1"/>
    </row>
    <row r="478">
      <c r="B478" s="1"/>
      <c r="C478" s="1"/>
      <c r="D478" s="1"/>
      <c r="E478" s="1"/>
      <c r="F478" s="1"/>
      <c r="G478" s="1"/>
      <c r="H478" s="1"/>
      <c r="M478" s="1"/>
    </row>
    <row r="479">
      <c r="B479" s="1"/>
      <c r="C479" s="1"/>
      <c r="D479" s="1"/>
      <c r="E479" s="1"/>
      <c r="F479" s="1"/>
      <c r="G479" s="1"/>
      <c r="H479" s="1"/>
      <c r="M479" s="1"/>
    </row>
    <row r="480">
      <c r="B480" s="1"/>
      <c r="C480" s="1"/>
      <c r="D480" s="1"/>
      <c r="E480" s="1"/>
      <c r="F480" s="1"/>
      <c r="G480" s="1"/>
      <c r="H480" s="1"/>
      <c r="M480" s="1"/>
    </row>
    <row r="481">
      <c r="B481" s="1"/>
      <c r="C481" s="1"/>
      <c r="D481" s="1"/>
      <c r="E481" s="1"/>
      <c r="F481" s="1"/>
      <c r="G481" s="1"/>
      <c r="H481" s="1"/>
      <c r="M481" s="1"/>
    </row>
    <row r="482">
      <c r="B482" s="1"/>
      <c r="C482" s="1"/>
      <c r="D482" s="1"/>
      <c r="E482" s="1"/>
      <c r="F482" s="1"/>
      <c r="G482" s="1"/>
      <c r="H482" s="1"/>
      <c r="M482" s="1"/>
    </row>
    <row r="483">
      <c r="B483" s="1"/>
      <c r="C483" s="1"/>
      <c r="D483" s="1"/>
      <c r="E483" s="1"/>
      <c r="F483" s="1"/>
      <c r="G483" s="1"/>
      <c r="H483" s="1"/>
      <c r="M483" s="1"/>
    </row>
    <row r="484">
      <c r="B484" s="1"/>
      <c r="C484" s="1"/>
      <c r="D484" s="1"/>
      <c r="E484" s="1"/>
      <c r="F484" s="1"/>
      <c r="G484" s="1"/>
      <c r="H484" s="1"/>
      <c r="M484" s="1"/>
    </row>
    <row r="485">
      <c r="B485" s="1"/>
      <c r="C485" s="1"/>
      <c r="D485" s="1"/>
      <c r="E485" s="1"/>
      <c r="F485" s="1"/>
      <c r="G485" s="1"/>
      <c r="H485" s="1"/>
      <c r="M485" s="1"/>
    </row>
    <row r="486">
      <c r="B486" s="1"/>
      <c r="C486" s="1"/>
      <c r="D486" s="1"/>
      <c r="E486" s="1"/>
      <c r="F486" s="1"/>
      <c r="G486" s="1"/>
      <c r="H486" s="1"/>
      <c r="M486" s="1"/>
    </row>
    <row r="487">
      <c r="B487" s="1"/>
      <c r="C487" s="1"/>
      <c r="D487" s="1"/>
      <c r="E487" s="1"/>
      <c r="F487" s="1"/>
      <c r="G487" s="1"/>
      <c r="H487" s="1"/>
      <c r="M487" s="1"/>
    </row>
    <row r="488">
      <c r="B488" s="1"/>
      <c r="C488" s="1"/>
      <c r="D488" s="1"/>
      <c r="E488" s="1"/>
      <c r="F488" s="1"/>
      <c r="G488" s="1"/>
      <c r="H488" s="1"/>
      <c r="M488" s="1"/>
    </row>
    <row r="489">
      <c r="B489" s="1"/>
      <c r="C489" s="1"/>
      <c r="D489" s="1"/>
      <c r="E489" s="1"/>
      <c r="F489" s="1"/>
      <c r="G489" s="1"/>
      <c r="H489" s="1"/>
      <c r="M489" s="1"/>
    </row>
    <row r="490">
      <c r="B490" s="1"/>
      <c r="C490" s="1"/>
      <c r="D490" s="1"/>
      <c r="E490" s="1"/>
      <c r="F490" s="1"/>
      <c r="G490" s="1"/>
      <c r="H490" s="1"/>
      <c r="M490" s="1"/>
    </row>
    <row r="491">
      <c r="B491" s="1"/>
      <c r="C491" s="1"/>
      <c r="D491" s="1"/>
      <c r="E491" s="1"/>
      <c r="F491" s="1"/>
      <c r="G491" s="1"/>
      <c r="H491" s="1"/>
      <c r="M491" s="1"/>
    </row>
    <row r="492">
      <c r="B492" s="1"/>
      <c r="C492" s="1"/>
      <c r="D492" s="1"/>
      <c r="E492" s="1"/>
      <c r="F492" s="1"/>
      <c r="G492" s="1"/>
      <c r="H492" s="1"/>
      <c r="M492" s="1"/>
    </row>
    <row r="493">
      <c r="B493" s="1"/>
      <c r="C493" s="1"/>
      <c r="D493" s="1"/>
      <c r="E493" s="1"/>
      <c r="F493" s="1"/>
      <c r="G493" s="1"/>
      <c r="H493" s="1"/>
      <c r="M493" s="1"/>
    </row>
    <row r="494">
      <c r="B494" s="1"/>
      <c r="C494" s="1"/>
      <c r="D494" s="1"/>
      <c r="E494" s="1"/>
      <c r="F494" s="1"/>
      <c r="G494" s="1"/>
      <c r="H494" s="1"/>
      <c r="M494" s="1"/>
    </row>
    <row r="495">
      <c r="B495" s="1"/>
      <c r="C495" s="1"/>
      <c r="D495" s="1"/>
      <c r="E495" s="1"/>
      <c r="F495" s="1"/>
      <c r="G495" s="1"/>
      <c r="H495" s="1"/>
      <c r="M495" s="1"/>
    </row>
    <row r="496">
      <c r="B496" s="1"/>
      <c r="C496" s="1"/>
      <c r="D496" s="1"/>
      <c r="E496" s="1"/>
      <c r="F496" s="1"/>
      <c r="G496" s="1"/>
      <c r="H496" s="1"/>
      <c r="M496" s="1"/>
    </row>
    <row r="497">
      <c r="B497" s="1"/>
      <c r="C497" s="1"/>
      <c r="D497" s="1"/>
      <c r="E497" s="1"/>
      <c r="F497" s="1"/>
      <c r="G497" s="1"/>
      <c r="H497" s="1"/>
      <c r="M497" s="1"/>
    </row>
    <row r="498">
      <c r="B498" s="1"/>
      <c r="C498" s="1"/>
      <c r="D498" s="1"/>
      <c r="E498" s="1"/>
      <c r="F498" s="1"/>
      <c r="G498" s="1"/>
      <c r="H498" s="1"/>
      <c r="M498" s="1"/>
    </row>
    <row r="499">
      <c r="B499" s="1"/>
      <c r="C499" s="1"/>
      <c r="D499" s="1"/>
      <c r="E499" s="1"/>
      <c r="F499" s="1"/>
      <c r="G499" s="1"/>
      <c r="H499" s="1"/>
      <c r="M499" s="1"/>
    </row>
    <row r="500">
      <c r="B500" s="1"/>
      <c r="C500" s="1"/>
      <c r="D500" s="1"/>
      <c r="E500" s="1"/>
      <c r="F500" s="1"/>
      <c r="G500" s="1"/>
      <c r="H500" s="1"/>
      <c r="M500" s="1"/>
    </row>
    <row r="501">
      <c r="B501" s="1"/>
      <c r="C501" s="1"/>
      <c r="D501" s="1"/>
      <c r="E501" s="1"/>
      <c r="F501" s="1"/>
      <c r="G501" s="1"/>
      <c r="H501" s="1"/>
      <c r="M501" s="1"/>
    </row>
    <row r="502">
      <c r="B502" s="1"/>
      <c r="C502" s="1"/>
      <c r="D502" s="1"/>
      <c r="E502" s="1"/>
      <c r="F502" s="1"/>
      <c r="G502" s="1"/>
      <c r="H502" s="1"/>
      <c r="M502" s="1"/>
    </row>
    <row r="503">
      <c r="B503" s="1"/>
      <c r="C503" s="1"/>
      <c r="D503" s="1"/>
      <c r="E503" s="1"/>
      <c r="F503" s="1"/>
      <c r="G503" s="1"/>
      <c r="H503" s="1"/>
      <c r="M503" s="1"/>
    </row>
    <row r="504">
      <c r="B504" s="1"/>
      <c r="C504" s="1"/>
      <c r="D504" s="1"/>
      <c r="E504" s="1"/>
      <c r="F504" s="1"/>
      <c r="G504" s="1"/>
      <c r="H504" s="1"/>
      <c r="M504" s="1"/>
    </row>
    <row r="505">
      <c r="B505" s="1"/>
      <c r="C505" s="1"/>
      <c r="D505" s="1"/>
      <c r="E505" s="1"/>
      <c r="F505" s="1"/>
      <c r="G505" s="1"/>
      <c r="H505" s="1"/>
      <c r="M505" s="1"/>
    </row>
    <row r="506">
      <c r="B506" s="1"/>
      <c r="C506" s="1"/>
      <c r="D506" s="1"/>
      <c r="E506" s="1"/>
      <c r="F506" s="1"/>
      <c r="G506" s="1"/>
      <c r="H506" s="1"/>
      <c r="M506" s="1"/>
    </row>
    <row r="507">
      <c r="B507" s="1"/>
      <c r="C507" s="1"/>
      <c r="D507" s="1"/>
      <c r="E507" s="1"/>
      <c r="F507" s="1"/>
      <c r="G507" s="1"/>
      <c r="H507" s="1"/>
      <c r="M507" s="1"/>
    </row>
    <row r="508">
      <c r="B508" s="1"/>
      <c r="C508" s="1"/>
      <c r="D508" s="1"/>
      <c r="E508" s="1"/>
      <c r="F508" s="1"/>
      <c r="G508" s="1"/>
      <c r="H508" s="1"/>
      <c r="M508" s="1"/>
    </row>
    <row r="509">
      <c r="B509" s="1"/>
      <c r="C509" s="1"/>
      <c r="D509" s="1"/>
      <c r="E509" s="1"/>
      <c r="F509" s="1"/>
      <c r="G509" s="1"/>
      <c r="H509" s="1"/>
      <c r="M509" s="1"/>
    </row>
    <row r="510">
      <c r="B510" s="1"/>
      <c r="C510" s="1"/>
      <c r="D510" s="1"/>
      <c r="E510" s="1"/>
      <c r="F510" s="1"/>
      <c r="G510" s="1"/>
      <c r="H510" s="1"/>
      <c r="M510" s="1"/>
    </row>
    <row r="511">
      <c r="B511" s="1"/>
      <c r="C511" s="1"/>
      <c r="D511" s="1"/>
      <c r="E511" s="1"/>
      <c r="F511" s="1"/>
      <c r="G511" s="1"/>
      <c r="H511" s="1"/>
      <c r="M511" s="1"/>
    </row>
    <row r="512">
      <c r="B512" s="1"/>
      <c r="C512" s="1"/>
      <c r="D512" s="1"/>
      <c r="E512" s="1"/>
      <c r="F512" s="1"/>
      <c r="G512" s="1"/>
      <c r="H512" s="1"/>
      <c r="M512" s="1"/>
    </row>
    <row r="513">
      <c r="B513" s="1"/>
      <c r="C513" s="1"/>
      <c r="D513" s="1"/>
      <c r="E513" s="1"/>
      <c r="F513" s="1"/>
      <c r="G513" s="1"/>
      <c r="H513" s="1"/>
      <c r="M513" s="1"/>
    </row>
    <row r="514">
      <c r="B514" s="1"/>
      <c r="C514" s="1"/>
      <c r="D514" s="1"/>
      <c r="E514" s="1"/>
      <c r="F514" s="1"/>
      <c r="G514" s="1"/>
      <c r="H514" s="1"/>
      <c r="M514" s="1"/>
    </row>
    <row r="515">
      <c r="B515" s="1"/>
      <c r="C515" s="1"/>
      <c r="D515" s="1"/>
      <c r="E515" s="1"/>
      <c r="F515" s="1"/>
      <c r="G515" s="1"/>
      <c r="H515" s="1"/>
      <c r="M515" s="1"/>
    </row>
    <row r="516">
      <c r="B516" s="1"/>
      <c r="C516" s="1"/>
      <c r="D516" s="1"/>
      <c r="E516" s="1"/>
      <c r="F516" s="1"/>
      <c r="G516" s="1"/>
      <c r="H516" s="1"/>
      <c r="M516" s="1"/>
    </row>
    <row r="517">
      <c r="B517" s="1"/>
      <c r="C517" s="1"/>
      <c r="D517" s="1"/>
      <c r="E517" s="1"/>
      <c r="F517" s="1"/>
      <c r="G517" s="1"/>
      <c r="H517" s="1"/>
      <c r="M517" s="1"/>
    </row>
    <row r="518">
      <c r="B518" s="1"/>
      <c r="C518" s="1"/>
      <c r="D518" s="1"/>
      <c r="E518" s="1"/>
      <c r="F518" s="1"/>
      <c r="G518" s="1"/>
      <c r="H518" s="1"/>
      <c r="M518" s="1"/>
    </row>
    <row r="519">
      <c r="B519" s="1"/>
      <c r="C519" s="1"/>
      <c r="D519" s="1"/>
      <c r="E519" s="1"/>
      <c r="F519" s="1"/>
      <c r="G519" s="1"/>
      <c r="H519" s="1"/>
      <c r="M519" s="1"/>
    </row>
    <row r="520">
      <c r="B520" s="1"/>
      <c r="C520" s="1"/>
      <c r="D520" s="1"/>
      <c r="E520" s="1"/>
      <c r="F520" s="1"/>
      <c r="G520" s="1"/>
      <c r="H520" s="1"/>
      <c r="M520" s="1"/>
    </row>
    <row r="521">
      <c r="B521" s="1"/>
      <c r="C521" s="1"/>
      <c r="D521" s="1"/>
      <c r="E521" s="1"/>
      <c r="F521" s="1"/>
      <c r="G521" s="1"/>
      <c r="H521" s="1"/>
      <c r="M521" s="1"/>
    </row>
    <row r="522">
      <c r="B522" s="1"/>
      <c r="C522" s="1"/>
      <c r="D522" s="1"/>
      <c r="E522" s="1"/>
      <c r="F522" s="1"/>
      <c r="G522" s="1"/>
      <c r="H522" s="1"/>
      <c r="M522" s="1"/>
    </row>
    <row r="523">
      <c r="B523" s="1"/>
      <c r="C523" s="1"/>
      <c r="D523" s="1"/>
      <c r="E523" s="1"/>
      <c r="F523" s="1"/>
      <c r="G523" s="1"/>
      <c r="H523" s="1"/>
      <c r="M523" s="1"/>
    </row>
    <row r="524">
      <c r="B524" s="1"/>
      <c r="C524" s="1"/>
      <c r="D524" s="1"/>
      <c r="E524" s="1"/>
      <c r="F524" s="1"/>
      <c r="G524" s="1"/>
      <c r="H524" s="1"/>
      <c r="M524" s="1"/>
    </row>
    <row r="525">
      <c r="B525" s="1"/>
      <c r="C525" s="1"/>
      <c r="D525" s="1"/>
      <c r="E525" s="1"/>
      <c r="F525" s="1"/>
      <c r="G525" s="1"/>
      <c r="H525" s="1"/>
      <c r="M525" s="1"/>
    </row>
    <row r="526">
      <c r="B526" s="1"/>
      <c r="C526" s="1"/>
      <c r="D526" s="1"/>
      <c r="E526" s="1"/>
      <c r="F526" s="1"/>
      <c r="G526" s="1"/>
      <c r="H526" s="1"/>
      <c r="M526" s="1"/>
    </row>
    <row r="527">
      <c r="B527" s="1"/>
      <c r="C527" s="1"/>
      <c r="D527" s="1"/>
      <c r="E527" s="1"/>
      <c r="F527" s="1"/>
      <c r="G527" s="1"/>
      <c r="H527" s="1"/>
      <c r="M527" s="1"/>
    </row>
    <row r="528">
      <c r="B528" s="1"/>
      <c r="C528" s="1"/>
      <c r="D528" s="1"/>
      <c r="E528" s="1"/>
      <c r="F528" s="1"/>
      <c r="G528" s="1"/>
      <c r="H528" s="1"/>
      <c r="M528" s="1"/>
    </row>
    <row r="529">
      <c r="B529" s="1"/>
      <c r="C529" s="1"/>
      <c r="D529" s="1"/>
      <c r="E529" s="1"/>
      <c r="F529" s="1"/>
      <c r="G529" s="1"/>
      <c r="H529" s="1"/>
      <c r="M529" s="1"/>
    </row>
    <row r="530">
      <c r="B530" s="1"/>
      <c r="C530" s="1"/>
      <c r="D530" s="1"/>
      <c r="E530" s="1"/>
      <c r="F530" s="1"/>
      <c r="G530" s="1"/>
      <c r="H530" s="1"/>
      <c r="M530" s="1"/>
    </row>
    <row r="531">
      <c r="B531" s="1"/>
      <c r="C531" s="1"/>
      <c r="D531" s="1"/>
      <c r="E531" s="1"/>
      <c r="F531" s="1"/>
      <c r="G531" s="1"/>
      <c r="H531" s="1"/>
      <c r="M531" s="1"/>
    </row>
    <row r="532">
      <c r="B532" s="1"/>
      <c r="C532" s="1"/>
      <c r="D532" s="1"/>
      <c r="E532" s="1"/>
      <c r="F532" s="1"/>
      <c r="G532" s="1"/>
      <c r="H532" s="1"/>
      <c r="M532" s="1"/>
    </row>
    <row r="533">
      <c r="B533" s="1"/>
      <c r="C533" s="1"/>
      <c r="D533" s="1"/>
      <c r="E533" s="1"/>
      <c r="F533" s="1"/>
      <c r="G533" s="1"/>
      <c r="H533" s="1"/>
      <c r="M533" s="1"/>
    </row>
    <row r="534">
      <c r="B534" s="1"/>
      <c r="C534" s="1"/>
      <c r="D534" s="1"/>
      <c r="E534" s="1"/>
      <c r="F534" s="1"/>
      <c r="G534" s="1"/>
      <c r="H534" s="1"/>
      <c r="M534" s="1"/>
    </row>
    <row r="535">
      <c r="B535" s="1"/>
      <c r="C535" s="1"/>
      <c r="D535" s="1"/>
      <c r="E535" s="1"/>
      <c r="F535" s="1"/>
      <c r="G535" s="1"/>
      <c r="H535" s="1"/>
      <c r="M535" s="1"/>
    </row>
    <row r="536">
      <c r="B536" s="1"/>
      <c r="C536" s="1"/>
      <c r="D536" s="1"/>
      <c r="E536" s="1"/>
      <c r="F536" s="1"/>
      <c r="G536" s="1"/>
      <c r="H536" s="1"/>
      <c r="M536" s="1"/>
    </row>
    <row r="537">
      <c r="B537" s="1"/>
      <c r="C537" s="1"/>
      <c r="D537" s="1"/>
      <c r="E537" s="1"/>
      <c r="F537" s="1"/>
      <c r="G537" s="1"/>
      <c r="H537" s="1"/>
      <c r="M537" s="1"/>
    </row>
    <row r="538">
      <c r="B538" s="1"/>
      <c r="C538" s="1"/>
      <c r="D538" s="1"/>
      <c r="E538" s="1"/>
      <c r="F538" s="1"/>
      <c r="G538" s="1"/>
      <c r="H538" s="1"/>
      <c r="M538" s="1"/>
    </row>
    <row r="539">
      <c r="B539" s="1"/>
      <c r="C539" s="1"/>
      <c r="D539" s="1"/>
      <c r="E539" s="1"/>
      <c r="F539" s="1"/>
      <c r="G539" s="1"/>
      <c r="H539" s="1"/>
      <c r="M539" s="1"/>
    </row>
    <row r="540">
      <c r="B540" s="1"/>
      <c r="C540" s="1"/>
      <c r="D540" s="1"/>
      <c r="E540" s="1"/>
      <c r="F540" s="1"/>
      <c r="G540" s="1"/>
      <c r="H540" s="1"/>
      <c r="M540" s="1"/>
    </row>
    <row r="541">
      <c r="B541" s="1"/>
      <c r="C541" s="1"/>
      <c r="D541" s="1"/>
      <c r="E541" s="1"/>
      <c r="F541" s="1"/>
      <c r="G541" s="1"/>
      <c r="H541" s="1"/>
      <c r="M541" s="1"/>
    </row>
    <row r="542">
      <c r="B542" s="1"/>
      <c r="C542" s="1"/>
      <c r="D542" s="1"/>
      <c r="E542" s="1"/>
      <c r="F542" s="1"/>
      <c r="G542" s="1"/>
      <c r="H542" s="1"/>
      <c r="M542" s="1"/>
    </row>
    <row r="543">
      <c r="B543" s="1"/>
      <c r="C543" s="1"/>
      <c r="D543" s="1"/>
      <c r="E543" s="1"/>
      <c r="F543" s="1"/>
      <c r="G543" s="1"/>
      <c r="H543" s="1"/>
      <c r="M543" s="1"/>
    </row>
    <row r="544">
      <c r="B544" s="1"/>
      <c r="C544" s="1"/>
      <c r="D544" s="1"/>
      <c r="E544" s="1"/>
      <c r="F544" s="1"/>
      <c r="G544" s="1"/>
      <c r="H544" s="1"/>
      <c r="M544" s="1"/>
    </row>
    <row r="545">
      <c r="B545" s="1"/>
      <c r="C545" s="1"/>
      <c r="D545" s="1"/>
      <c r="E545" s="1"/>
      <c r="F545" s="1"/>
      <c r="G545" s="1"/>
      <c r="H545" s="1"/>
      <c r="M545" s="1"/>
    </row>
    <row r="546">
      <c r="B546" s="1"/>
      <c r="C546" s="1"/>
      <c r="D546" s="1"/>
      <c r="E546" s="1"/>
      <c r="F546" s="1"/>
      <c r="G546" s="1"/>
      <c r="H546" s="1"/>
      <c r="M546" s="1"/>
    </row>
    <row r="547">
      <c r="B547" s="1"/>
      <c r="C547" s="1"/>
      <c r="D547" s="1"/>
      <c r="E547" s="1"/>
      <c r="F547" s="1"/>
      <c r="G547" s="1"/>
      <c r="H547" s="1"/>
      <c r="M547" s="1"/>
    </row>
    <row r="548">
      <c r="B548" s="1"/>
      <c r="C548" s="1"/>
      <c r="D548" s="1"/>
      <c r="E548" s="1"/>
      <c r="F548" s="1"/>
      <c r="G548" s="1"/>
      <c r="H548" s="1"/>
      <c r="M548" s="1"/>
    </row>
    <row r="549">
      <c r="B549" s="1"/>
      <c r="C549" s="1"/>
      <c r="D549" s="1"/>
      <c r="E549" s="1"/>
      <c r="F549" s="1"/>
      <c r="G549" s="1"/>
      <c r="H549" s="1"/>
      <c r="M549" s="1"/>
    </row>
    <row r="550">
      <c r="B550" s="1"/>
      <c r="C550" s="1"/>
      <c r="D550" s="1"/>
      <c r="E550" s="1"/>
      <c r="F550" s="1"/>
      <c r="G550" s="1"/>
      <c r="H550" s="1"/>
      <c r="M550" s="1"/>
    </row>
    <row r="551">
      <c r="B551" s="1"/>
      <c r="C551" s="1"/>
      <c r="D551" s="1"/>
      <c r="E551" s="1"/>
      <c r="F551" s="1"/>
      <c r="G551" s="1"/>
      <c r="H551" s="1"/>
      <c r="M551" s="1"/>
    </row>
    <row r="552">
      <c r="B552" s="1"/>
      <c r="C552" s="1"/>
      <c r="D552" s="1"/>
      <c r="E552" s="1"/>
      <c r="F552" s="1"/>
      <c r="G552" s="1"/>
      <c r="H552" s="1"/>
      <c r="M552" s="1"/>
    </row>
    <row r="553">
      <c r="B553" s="1"/>
      <c r="C553" s="1"/>
      <c r="D553" s="1"/>
      <c r="E553" s="1"/>
      <c r="F553" s="1"/>
      <c r="G553" s="1"/>
      <c r="H553" s="1"/>
      <c r="M553" s="1"/>
    </row>
    <row r="554">
      <c r="B554" s="1"/>
      <c r="C554" s="1"/>
      <c r="D554" s="1"/>
      <c r="E554" s="1"/>
      <c r="F554" s="1"/>
      <c r="G554" s="1"/>
      <c r="H554" s="1"/>
      <c r="M554" s="1"/>
    </row>
    <row r="555">
      <c r="B555" s="1"/>
      <c r="C555" s="1"/>
      <c r="D555" s="1"/>
      <c r="E555" s="1"/>
      <c r="F555" s="1"/>
      <c r="G555" s="1"/>
      <c r="H555" s="1"/>
      <c r="M555" s="1"/>
    </row>
    <row r="556">
      <c r="B556" s="1"/>
      <c r="C556" s="1"/>
      <c r="D556" s="1"/>
      <c r="E556" s="1"/>
      <c r="F556" s="1"/>
      <c r="G556" s="1"/>
      <c r="H556" s="1"/>
      <c r="M556" s="1"/>
    </row>
    <row r="557">
      <c r="B557" s="1"/>
      <c r="C557" s="1"/>
      <c r="D557" s="1"/>
      <c r="E557" s="1"/>
      <c r="F557" s="1"/>
      <c r="G557" s="1"/>
      <c r="H557" s="1"/>
      <c r="M557" s="1"/>
    </row>
    <row r="558">
      <c r="B558" s="1"/>
      <c r="C558" s="1"/>
      <c r="D558" s="1"/>
      <c r="E558" s="1"/>
      <c r="F558" s="1"/>
      <c r="G558" s="1"/>
      <c r="H558" s="1"/>
      <c r="M558" s="1"/>
    </row>
    <row r="559">
      <c r="B559" s="1"/>
      <c r="C559" s="1"/>
      <c r="D559" s="1"/>
      <c r="E559" s="1"/>
      <c r="F559" s="1"/>
      <c r="G559" s="1"/>
      <c r="H559" s="1"/>
      <c r="M559" s="1"/>
    </row>
    <row r="560">
      <c r="B560" s="1"/>
      <c r="C560" s="1"/>
      <c r="D560" s="1"/>
      <c r="E560" s="1"/>
      <c r="F560" s="1"/>
      <c r="G560" s="1"/>
      <c r="H560" s="1"/>
      <c r="M560" s="1"/>
    </row>
    <row r="561">
      <c r="B561" s="1"/>
      <c r="C561" s="1"/>
      <c r="D561" s="1"/>
      <c r="E561" s="1"/>
      <c r="F561" s="1"/>
      <c r="G561" s="1"/>
      <c r="H561" s="1"/>
      <c r="M561" s="1"/>
    </row>
    <row r="562">
      <c r="B562" s="1"/>
      <c r="C562" s="1"/>
      <c r="D562" s="1"/>
      <c r="E562" s="1"/>
      <c r="F562" s="1"/>
      <c r="G562" s="1"/>
      <c r="H562" s="1"/>
      <c r="M562" s="1"/>
    </row>
    <row r="563">
      <c r="B563" s="1"/>
      <c r="C563" s="1"/>
      <c r="D563" s="1"/>
      <c r="E563" s="1"/>
      <c r="F563" s="1"/>
      <c r="G563" s="1"/>
      <c r="H563" s="1"/>
      <c r="M563" s="1"/>
    </row>
    <row r="564">
      <c r="B564" s="1"/>
      <c r="C564" s="1"/>
      <c r="D564" s="1"/>
      <c r="E564" s="1"/>
      <c r="F564" s="1"/>
      <c r="G564" s="1"/>
      <c r="H564" s="1"/>
      <c r="M564" s="1"/>
    </row>
    <row r="565">
      <c r="B565" s="1"/>
      <c r="C565" s="1"/>
      <c r="D565" s="1"/>
      <c r="E565" s="1"/>
      <c r="F565" s="1"/>
      <c r="G565" s="1"/>
      <c r="H565" s="1"/>
      <c r="M565" s="1"/>
    </row>
    <row r="566">
      <c r="B566" s="1"/>
      <c r="C566" s="1"/>
      <c r="D566" s="1"/>
      <c r="E566" s="1"/>
      <c r="F566" s="1"/>
      <c r="G566" s="1"/>
      <c r="H566" s="1"/>
      <c r="M566" s="1"/>
    </row>
    <row r="567">
      <c r="B567" s="1"/>
      <c r="C567" s="1"/>
      <c r="D567" s="1"/>
      <c r="E567" s="1"/>
      <c r="F567" s="1"/>
      <c r="G567" s="1"/>
      <c r="H567" s="1"/>
      <c r="M567" s="1"/>
    </row>
    <row r="568">
      <c r="B568" s="1"/>
      <c r="C568" s="1"/>
      <c r="D568" s="1"/>
      <c r="E568" s="1"/>
      <c r="F568" s="1"/>
      <c r="G568" s="1"/>
      <c r="H568" s="1"/>
      <c r="M568" s="1"/>
    </row>
    <row r="569">
      <c r="B569" s="1"/>
      <c r="C569" s="1"/>
      <c r="D569" s="1"/>
      <c r="E569" s="1"/>
      <c r="F569" s="1"/>
      <c r="G569" s="1"/>
      <c r="H569" s="1"/>
      <c r="M569" s="1"/>
    </row>
    <row r="570">
      <c r="B570" s="1"/>
      <c r="C570" s="1"/>
      <c r="D570" s="1"/>
      <c r="E570" s="1"/>
      <c r="F570" s="1"/>
      <c r="G570" s="1"/>
      <c r="H570" s="1"/>
      <c r="M570" s="1"/>
    </row>
    <row r="571">
      <c r="B571" s="1"/>
      <c r="C571" s="1"/>
      <c r="D571" s="1"/>
      <c r="E571" s="1"/>
      <c r="F571" s="1"/>
      <c r="G571" s="1"/>
      <c r="H571" s="1"/>
      <c r="M571" s="1"/>
    </row>
    <row r="572">
      <c r="B572" s="1"/>
      <c r="C572" s="1"/>
      <c r="D572" s="1"/>
      <c r="E572" s="1"/>
      <c r="F572" s="1"/>
      <c r="G572" s="1"/>
      <c r="H572" s="1"/>
      <c r="M572" s="1"/>
    </row>
    <row r="573">
      <c r="B573" s="1"/>
      <c r="C573" s="1"/>
      <c r="D573" s="1"/>
      <c r="E573" s="1"/>
      <c r="F573" s="1"/>
      <c r="G573" s="1"/>
      <c r="H573" s="1"/>
      <c r="M573" s="1"/>
    </row>
    <row r="574">
      <c r="B574" s="1"/>
      <c r="C574" s="1"/>
      <c r="D574" s="1"/>
      <c r="E574" s="1"/>
      <c r="F574" s="1"/>
      <c r="G574" s="1"/>
      <c r="H574" s="1"/>
      <c r="M574" s="1"/>
    </row>
    <row r="575">
      <c r="B575" s="1"/>
      <c r="C575" s="1"/>
      <c r="D575" s="1"/>
      <c r="E575" s="1"/>
      <c r="F575" s="1"/>
      <c r="G575" s="1"/>
      <c r="H575" s="1"/>
      <c r="M575" s="1"/>
    </row>
    <row r="576">
      <c r="B576" s="1"/>
      <c r="C576" s="1"/>
      <c r="D576" s="1"/>
      <c r="E576" s="1"/>
      <c r="F576" s="1"/>
      <c r="G576" s="1"/>
      <c r="H576" s="1"/>
      <c r="M576" s="1"/>
    </row>
    <row r="577">
      <c r="B577" s="1"/>
      <c r="C577" s="1"/>
      <c r="D577" s="1"/>
      <c r="E577" s="1"/>
      <c r="F577" s="1"/>
      <c r="G577" s="1"/>
      <c r="H577" s="1"/>
      <c r="M577" s="1"/>
    </row>
    <row r="578">
      <c r="B578" s="1"/>
      <c r="C578" s="1"/>
      <c r="D578" s="1"/>
      <c r="E578" s="1"/>
      <c r="F578" s="1"/>
      <c r="G578" s="1"/>
      <c r="H578" s="1"/>
      <c r="M578" s="1"/>
    </row>
    <row r="579">
      <c r="B579" s="1"/>
      <c r="C579" s="1"/>
      <c r="D579" s="1"/>
      <c r="E579" s="1"/>
      <c r="F579" s="1"/>
      <c r="G579" s="1"/>
      <c r="H579" s="1"/>
      <c r="M579" s="1"/>
    </row>
    <row r="580">
      <c r="B580" s="1"/>
      <c r="C580" s="1"/>
      <c r="D580" s="1"/>
      <c r="E580" s="1"/>
      <c r="F580" s="1"/>
      <c r="G580" s="1"/>
      <c r="H580" s="1"/>
      <c r="M580" s="1"/>
    </row>
    <row r="581">
      <c r="B581" s="1"/>
      <c r="C581" s="1"/>
      <c r="D581" s="1"/>
      <c r="E581" s="1"/>
      <c r="F581" s="1"/>
      <c r="G581" s="1"/>
      <c r="H581" s="1"/>
      <c r="M581" s="1"/>
    </row>
    <row r="582">
      <c r="B582" s="1"/>
      <c r="C582" s="1"/>
      <c r="D582" s="1"/>
      <c r="E582" s="1"/>
      <c r="F582" s="1"/>
      <c r="G582" s="1"/>
      <c r="H582" s="1"/>
      <c r="M582" s="1"/>
    </row>
    <row r="583">
      <c r="B583" s="1"/>
      <c r="C583" s="1"/>
      <c r="D583" s="1"/>
      <c r="E583" s="1"/>
      <c r="F583" s="1"/>
      <c r="G583" s="1"/>
      <c r="H583" s="1"/>
      <c r="M583" s="1"/>
    </row>
    <row r="584">
      <c r="B584" s="1"/>
      <c r="C584" s="1"/>
      <c r="D584" s="1"/>
      <c r="E584" s="1"/>
      <c r="F584" s="1"/>
      <c r="G584" s="1"/>
      <c r="H584" s="1"/>
      <c r="M584" s="1"/>
    </row>
    <row r="585">
      <c r="B585" s="1"/>
      <c r="C585" s="1"/>
      <c r="D585" s="1"/>
      <c r="E585" s="1"/>
      <c r="F585" s="1"/>
      <c r="G585" s="1"/>
      <c r="H585" s="1"/>
      <c r="M585" s="1"/>
    </row>
    <row r="586">
      <c r="B586" s="1"/>
      <c r="C586" s="1"/>
      <c r="D586" s="1"/>
      <c r="E586" s="1"/>
      <c r="F586" s="1"/>
      <c r="G586" s="1"/>
      <c r="H586" s="1"/>
      <c r="M586" s="1"/>
    </row>
    <row r="587">
      <c r="B587" s="1"/>
      <c r="C587" s="1"/>
      <c r="D587" s="1"/>
      <c r="E587" s="1"/>
      <c r="F587" s="1"/>
      <c r="G587" s="1"/>
      <c r="H587" s="1"/>
      <c r="M587" s="1"/>
    </row>
    <row r="588">
      <c r="B588" s="1"/>
      <c r="C588" s="1"/>
      <c r="D588" s="1"/>
      <c r="E588" s="1"/>
      <c r="F588" s="1"/>
      <c r="G588" s="1"/>
      <c r="H588" s="1"/>
      <c r="M588" s="1"/>
    </row>
    <row r="589">
      <c r="B589" s="1"/>
      <c r="C589" s="1"/>
      <c r="D589" s="1"/>
      <c r="E589" s="1"/>
      <c r="F589" s="1"/>
      <c r="G589" s="1"/>
      <c r="H589" s="1"/>
      <c r="M589" s="1"/>
    </row>
    <row r="590">
      <c r="B590" s="1"/>
      <c r="C590" s="1"/>
      <c r="D590" s="1"/>
      <c r="E590" s="1"/>
      <c r="F590" s="1"/>
      <c r="G590" s="1"/>
      <c r="H590" s="1"/>
      <c r="M590" s="1"/>
    </row>
    <row r="591">
      <c r="B591" s="1"/>
      <c r="C591" s="1"/>
      <c r="D591" s="1"/>
      <c r="E591" s="1"/>
      <c r="F591" s="1"/>
      <c r="G591" s="1"/>
      <c r="H591" s="1"/>
      <c r="M591" s="1"/>
    </row>
    <row r="592">
      <c r="B592" s="1"/>
      <c r="C592" s="1"/>
      <c r="D592" s="1"/>
      <c r="E592" s="1"/>
      <c r="F592" s="1"/>
      <c r="G592" s="1"/>
      <c r="H592" s="1"/>
      <c r="M592" s="1"/>
    </row>
    <row r="593">
      <c r="B593" s="1"/>
      <c r="C593" s="1"/>
      <c r="D593" s="1"/>
      <c r="E593" s="1"/>
      <c r="F593" s="1"/>
      <c r="G593" s="1"/>
      <c r="H593" s="1"/>
      <c r="M593" s="1"/>
    </row>
    <row r="594">
      <c r="B594" s="1"/>
      <c r="C594" s="1"/>
      <c r="D594" s="1"/>
      <c r="E594" s="1"/>
      <c r="F594" s="1"/>
      <c r="G594" s="1"/>
      <c r="H594" s="1"/>
      <c r="M594" s="1"/>
    </row>
    <row r="595">
      <c r="B595" s="1"/>
      <c r="C595" s="1"/>
      <c r="D595" s="1"/>
      <c r="E595" s="1"/>
      <c r="F595" s="1"/>
      <c r="G595" s="1"/>
      <c r="H595" s="1"/>
      <c r="M595" s="1"/>
    </row>
    <row r="596">
      <c r="B596" s="1"/>
      <c r="C596" s="1"/>
      <c r="D596" s="1"/>
      <c r="E596" s="1"/>
      <c r="F596" s="1"/>
      <c r="G596" s="1"/>
      <c r="H596" s="1"/>
      <c r="M596" s="1"/>
    </row>
    <row r="597">
      <c r="B597" s="1"/>
      <c r="C597" s="1"/>
      <c r="D597" s="1"/>
      <c r="E597" s="1"/>
      <c r="F597" s="1"/>
      <c r="G597" s="1"/>
      <c r="H597" s="1"/>
      <c r="M597" s="1"/>
    </row>
    <row r="598">
      <c r="B598" s="1"/>
      <c r="C598" s="1"/>
      <c r="D598" s="1"/>
      <c r="E598" s="1"/>
      <c r="F598" s="1"/>
      <c r="G598" s="1"/>
      <c r="H598" s="1"/>
      <c r="M598" s="1"/>
    </row>
    <row r="599">
      <c r="B599" s="1"/>
      <c r="C599" s="1"/>
      <c r="D599" s="1"/>
      <c r="E599" s="1"/>
      <c r="F599" s="1"/>
      <c r="G599" s="1"/>
      <c r="H599" s="1"/>
      <c r="M599" s="1"/>
    </row>
    <row r="600">
      <c r="B600" s="1"/>
      <c r="C600" s="1"/>
      <c r="D600" s="1"/>
      <c r="E600" s="1"/>
      <c r="F600" s="1"/>
      <c r="G600" s="1"/>
      <c r="H600" s="1"/>
      <c r="M600" s="1"/>
    </row>
    <row r="601">
      <c r="B601" s="1"/>
      <c r="C601" s="1"/>
      <c r="D601" s="1"/>
      <c r="E601" s="1"/>
      <c r="F601" s="1"/>
      <c r="G601" s="1"/>
      <c r="H601" s="1"/>
      <c r="M601" s="1"/>
    </row>
    <row r="602">
      <c r="B602" s="1"/>
      <c r="C602" s="1"/>
      <c r="D602" s="1"/>
      <c r="E602" s="1"/>
      <c r="F602" s="1"/>
      <c r="G602" s="1"/>
      <c r="H602" s="1"/>
      <c r="M602" s="1"/>
    </row>
    <row r="603">
      <c r="B603" s="1"/>
      <c r="C603" s="1"/>
      <c r="D603" s="1"/>
      <c r="E603" s="1"/>
      <c r="F603" s="1"/>
      <c r="G603" s="1"/>
      <c r="H603" s="1"/>
      <c r="M603" s="1"/>
    </row>
    <row r="604">
      <c r="B604" s="1"/>
      <c r="C604" s="1"/>
      <c r="D604" s="1"/>
      <c r="E604" s="1"/>
      <c r="F604" s="1"/>
      <c r="G604" s="1"/>
      <c r="H604" s="1"/>
      <c r="M604" s="1"/>
    </row>
    <row r="605">
      <c r="B605" s="1"/>
      <c r="C605" s="1"/>
      <c r="D605" s="1"/>
      <c r="E605" s="1"/>
      <c r="F605" s="1"/>
      <c r="G605" s="1"/>
      <c r="H605" s="1"/>
      <c r="M605" s="1"/>
    </row>
    <row r="606">
      <c r="B606" s="1"/>
      <c r="C606" s="1"/>
      <c r="D606" s="1"/>
      <c r="E606" s="1"/>
      <c r="F606" s="1"/>
      <c r="G606" s="1"/>
      <c r="H606" s="1"/>
      <c r="M606" s="1"/>
    </row>
    <row r="607">
      <c r="B607" s="1"/>
      <c r="C607" s="1"/>
      <c r="D607" s="1"/>
      <c r="E607" s="1"/>
      <c r="F607" s="1"/>
      <c r="G607" s="1"/>
      <c r="H607" s="1"/>
      <c r="M607" s="1"/>
    </row>
    <row r="608">
      <c r="B608" s="1"/>
      <c r="C608" s="1"/>
      <c r="D608" s="1"/>
      <c r="E608" s="1"/>
      <c r="F608" s="1"/>
      <c r="G608" s="1"/>
      <c r="H608" s="1"/>
      <c r="M608" s="1"/>
    </row>
    <row r="609">
      <c r="B609" s="1"/>
      <c r="C609" s="1"/>
      <c r="D609" s="1"/>
      <c r="E609" s="1"/>
      <c r="F609" s="1"/>
      <c r="G609" s="1"/>
      <c r="H609" s="1"/>
      <c r="M609" s="1"/>
    </row>
    <row r="610">
      <c r="B610" s="1"/>
      <c r="C610" s="1"/>
      <c r="D610" s="1"/>
      <c r="E610" s="1"/>
      <c r="F610" s="1"/>
      <c r="G610" s="1"/>
      <c r="H610" s="1"/>
      <c r="M610" s="1"/>
    </row>
    <row r="611">
      <c r="B611" s="1"/>
      <c r="C611" s="1"/>
      <c r="D611" s="1"/>
      <c r="E611" s="1"/>
      <c r="F611" s="1"/>
      <c r="G611" s="1"/>
      <c r="H611" s="1"/>
      <c r="M611" s="1"/>
    </row>
    <row r="612">
      <c r="B612" s="1"/>
      <c r="C612" s="1"/>
      <c r="D612" s="1"/>
      <c r="E612" s="1"/>
      <c r="F612" s="1"/>
      <c r="G612" s="1"/>
      <c r="H612" s="1"/>
      <c r="M612" s="1"/>
    </row>
    <row r="613">
      <c r="B613" s="1"/>
      <c r="C613" s="1"/>
      <c r="D613" s="1"/>
      <c r="E613" s="1"/>
      <c r="F613" s="1"/>
      <c r="G613" s="1"/>
      <c r="H613" s="1"/>
      <c r="M613" s="1"/>
    </row>
    <row r="614">
      <c r="B614" s="1"/>
      <c r="C614" s="1"/>
      <c r="D614" s="1"/>
      <c r="E614" s="1"/>
      <c r="F614" s="1"/>
      <c r="G614" s="1"/>
      <c r="H614" s="1"/>
      <c r="M614" s="1"/>
    </row>
    <row r="615">
      <c r="B615" s="1"/>
      <c r="C615" s="1"/>
      <c r="D615" s="1"/>
      <c r="E615" s="1"/>
      <c r="F615" s="1"/>
      <c r="G615" s="1"/>
      <c r="H615" s="1"/>
      <c r="M615" s="1"/>
    </row>
    <row r="616">
      <c r="B616" s="1"/>
      <c r="C616" s="1"/>
      <c r="D616" s="1"/>
      <c r="E616" s="1"/>
      <c r="F616" s="1"/>
      <c r="G616" s="1"/>
      <c r="H616" s="1"/>
      <c r="M616" s="1"/>
    </row>
    <row r="617">
      <c r="B617" s="1"/>
      <c r="C617" s="1"/>
      <c r="D617" s="1"/>
      <c r="E617" s="1"/>
      <c r="F617" s="1"/>
      <c r="G617" s="1"/>
      <c r="H617" s="1"/>
      <c r="M617" s="1"/>
    </row>
    <row r="618">
      <c r="B618" s="1"/>
      <c r="C618" s="1"/>
      <c r="D618" s="1"/>
      <c r="E618" s="1"/>
      <c r="F618" s="1"/>
      <c r="G618" s="1"/>
      <c r="H618" s="1"/>
      <c r="M618" s="1"/>
    </row>
    <row r="619">
      <c r="B619" s="1"/>
      <c r="C619" s="1"/>
      <c r="D619" s="1"/>
      <c r="E619" s="1"/>
      <c r="F619" s="1"/>
      <c r="G619" s="1"/>
      <c r="H619" s="1"/>
      <c r="M619" s="1"/>
    </row>
    <row r="620">
      <c r="B620" s="1"/>
      <c r="C620" s="1"/>
      <c r="D620" s="1"/>
      <c r="E620" s="1"/>
      <c r="F620" s="1"/>
      <c r="G620" s="1"/>
      <c r="H620" s="1"/>
      <c r="M620" s="1"/>
    </row>
    <row r="621">
      <c r="B621" s="1"/>
      <c r="C621" s="1"/>
      <c r="D621" s="1"/>
      <c r="E621" s="1"/>
      <c r="F621" s="1"/>
      <c r="G621" s="1"/>
      <c r="H621" s="1"/>
      <c r="M621" s="1"/>
    </row>
    <row r="622">
      <c r="B622" s="1"/>
      <c r="C622" s="1"/>
      <c r="D622" s="1"/>
      <c r="E622" s="1"/>
      <c r="F622" s="1"/>
      <c r="G622" s="1"/>
      <c r="H622" s="1"/>
      <c r="M622" s="1"/>
    </row>
    <row r="623">
      <c r="B623" s="1"/>
      <c r="C623" s="1"/>
      <c r="D623" s="1"/>
      <c r="E623" s="1"/>
      <c r="F623" s="1"/>
      <c r="G623" s="1"/>
      <c r="H623" s="1"/>
      <c r="M623" s="1"/>
    </row>
    <row r="624">
      <c r="B624" s="1"/>
      <c r="C624" s="1"/>
      <c r="D624" s="1"/>
      <c r="E624" s="1"/>
      <c r="F624" s="1"/>
      <c r="G624" s="1"/>
      <c r="H624" s="1"/>
      <c r="M624" s="1"/>
    </row>
    <row r="625">
      <c r="B625" s="1"/>
      <c r="C625" s="1"/>
      <c r="D625" s="1"/>
      <c r="E625" s="1"/>
      <c r="F625" s="1"/>
      <c r="G625" s="1"/>
      <c r="H625" s="1"/>
      <c r="M625" s="1"/>
    </row>
    <row r="626">
      <c r="B626" s="1"/>
      <c r="C626" s="1"/>
      <c r="D626" s="1"/>
      <c r="E626" s="1"/>
      <c r="F626" s="1"/>
      <c r="G626" s="1"/>
      <c r="H626" s="1"/>
      <c r="M626" s="1"/>
    </row>
    <row r="627">
      <c r="B627" s="1"/>
      <c r="C627" s="1"/>
      <c r="D627" s="1"/>
      <c r="E627" s="1"/>
      <c r="F627" s="1"/>
      <c r="G627" s="1"/>
      <c r="H627" s="1"/>
      <c r="M627" s="1"/>
    </row>
    <row r="628">
      <c r="B628" s="1"/>
      <c r="C628" s="1"/>
      <c r="D628" s="1"/>
      <c r="E628" s="1"/>
      <c r="F628" s="1"/>
      <c r="G628" s="1"/>
      <c r="H628" s="1"/>
      <c r="M628" s="1"/>
    </row>
    <row r="629">
      <c r="B629" s="1"/>
      <c r="C629" s="1"/>
      <c r="D629" s="1"/>
      <c r="E629" s="1"/>
      <c r="F629" s="1"/>
      <c r="G629" s="1"/>
      <c r="H629" s="1"/>
      <c r="M629" s="1"/>
    </row>
    <row r="630">
      <c r="B630" s="1"/>
      <c r="C630" s="1"/>
      <c r="D630" s="1"/>
      <c r="E630" s="1"/>
      <c r="F630" s="1"/>
      <c r="G630" s="1"/>
      <c r="H630" s="1"/>
      <c r="M630" s="1"/>
    </row>
    <row r="631">
      <c r="B631" s="1"/>
      <c r="C631" s="1"/>
      <c r="D631" s="1"/>
      <c r="E631" s="1"/>
      <c r="F631" s="1"/>
      <c r="G631" s="1"/>
      <c r="H631" s="1"/>
      <c r="M631" s="1"/>
    </row>
    <row r="632">
      <c r="B632" s="1"/>
      <c r="C632" s="1"/>
      <c r="D632" s="1"/>
      <c r="E632" s="1"/>
      <c r="F632" s="1"/>
      <c r="G632" s="1"/>
      <c r="H632" s="1"/>
      <c r="M632" s="1"/>
    </row>
    <row r="633">
      <c r="B633" s="1"/>
      <c r="C633" s="1"/>
      <c r="D633" s="1"/>
      <c r="E633" s="1"/>
      <c r="F633" s="1"/>
      <c r="G633" s="1"/>
      <c r="H633" s="1"/>
      <c r="M633" s="1"/>
    </row>
    <row r="634">
      <c r="B634" s="1"/>
      <c r="C634" s="1"/>
      <c r="D634" s="1"/>
      <c r="E634" s="1"/>
      <c r="F634" s="1"/>
      <c r="G634" s="1"/>
      <c r="H634" s="1"/>
      <c r="M634" s="1"/>
    </row>
    <row r="635">
      <c r="B635" s="1"/>
      <c r="C635" s="1"/>
      <c r="D635" s="1"/>
      <c r="E635" s="1"/>
      <c r="F635" s="1"/>
      <c r="G635" s="1"/>
      <c r="H635" s="1"/>
      <c r="M635" s="1"/>
    </row>
    <row r="636">
      <c r="B636" s="1"/>
      <c r="C636" s="1"/>
      <c r="D636" s="1"/>
      <c r="E636" s="1"/>
      <c r="F636" s="1"/>
      <c r="G636" s="1"/>
      <c r="H636" s="1"/>
      <c r="M636" s="1"/>
    </row>
    <row r="637">
      <c r="B637" s="1"/>
      <c r="C637" s="1"/>
      <c r="D637" s="1"/>
      <c r="E637" s="1"/>
      <c r="F637" s="1"/>
      <c r="G637" s="1"/>
      <c r="H637" s="1"/>
      <c r="M637" s="1"/>
    </row>
    <row r="638">
      <c r="B638" s="1"/>
      <c r="C638" s="1"/>
      <c r="D638" s="1"/>
      <c r="E638" s="1"/>
      <c r="F638" s="1"/>
      <c r="G638" s="1"/>
      <c r="H638" s="1"/>
      <c r="M638" s="1"/>
    </row>
    <row r="639">
      <c r="B639" s="1"/>
      <c r="C639" s="1"/>
      <c r="D639" s="1"/>
      <c r="E639" s="1"/>
      <c r="F639" s="1"/>
      <c r="G639" s="1"/>
      <c r="H639" s="1"/>
      <c r="M639" s="1"/>
    </row>
    <row r="640">
      <c r="B640" s="1"/>
      <c r="C640" s="1"/>
      <c r="D640" s="1"/>
      <c r="E640" s="1"/>
      <c r="F640" s="1"/>
      <c r="G640" s="1"/>
      <c r="H640" s="1"/>
      <c r="M640" s="1"/>
    </row>
    <row r="641">
      <c r="B641" s="1"/>
      <c r="C641" s="1"/>
      <c r="D641" s="1"/>
      <c r="E641" s="1"/>
      <c r="F641" s="1"/>
      <c r="G641" s="1"/>
      <c r="H641" s="1"/>
      <c r="M641" s="1"/>
    </row>
    <row r="642">
      <c r="B642" s="1"/>
      <c r="C642" s="1"/>
      <c r="D642" s="1"/>
      <c r="E642" s="1"/>
      <c r="F642" s="1"/>
      <c r="G642" s="1"/>
      <c r="H642" s="1"/>
      <c r="M642" s="1"/>
    </row>
    <row r="643">
      <c r="B643" s="1"/>
      <c r="C643" s="1"/>
      <c r="D643" s="1"/>
      <c r="E643" s="1"/>
      <c r="F643" s="1"/>
      <c r="G643" s="1"/>
      <c r="H643" s="1"/>
      <c r="M643" s="1"/>
    </row>
    <row r="644">
      <c r="B644" s="1"/>
      <c r="C644" s="1"/>
      <c r="D644" s="1"/>
      <c r="E644" s="1"/>
      <c r="F644" s="1"/>
      <c r="G644" s="1"/>
      <c r="H644" s="1"/>
      <c r="M644" s="1"/>
    </row>
    <row r="645">
      <c r="B645" s="1"/>
      <c r="C645" s="1"/>
      <c r="D645" s="1"/>
      <c r="E645" s="1"/>
      <c r="F645" s="1"/>
      <c r="G645" s="1"/>
      <c r="H645" s="1"/>
      <c r="M645" s="1"/>
    </row>
    <row r="646">
      <c r="B646" s="1"/>
      <c r="C646" s="1"/>
      <c r="D646" s="1"/>
      <c r="E646" s="1"/>
      <c r="F646" s="1"/>
      <c r="G646" s="1"/>
      <c r="H646" s="1"/>
      <c r="M646" s="1"/>
    </row>
    <row r="647">
      <c r="B647" s="1"/>
      <c r="C647" s="1"/>
      <c r="D647" s="1"/>
      <c r="E647" s="1"/>
      <c r="F647" s="1"/>
      <c r="G647" s="1"/>
      <c r="H647" s="1"/>
      <c r="M647" s="1"/>
    </row>
    <row r="648">
      <c r="B648" s="1"/>
      <c r="C648" s="1"/>
      <c r="D648" s="1"/>
      <c r="E648" s="1"/>
      <c r="F648" s="1"/>
      <c r="G648" s="1"/>
      <c r="H648" s="1"/>
      <c r="M648" s="1"/>
    </row>
    <row r="649">
      <c r="B649" s="1"/>
      <c r="C649" s="1"/>
      <c r="D649" s="1"/>
      <c r="E649" s="1"/>
      <c r="F649" s="1"/>
      <c r="G649" s="1"/>
      <c r="H649" s="1"/>
      <c r="M649" s="1"/>
    </row>
    <row r="650">
      <c r="B650" s="1"/>
      <c r="C650" s="1"/>
      <c r="D650" s="1"/>
      <c r="E650" s="1"/>
      <c r="F650" s="1"/>
      <c r="G650" s="1"/>
      <c r="H650" s="1"/>
      <c r="M650" s="1"/>
    </row>
    <row r="651">
      <c r="B651" s="1"/>
      <c r="C651" s="1"/>
      <c r="D651" s="1"/>
      <c r="E651" s="1"/>
      <c r="F651" s="1"/>
      <c r="G651" s="1"/>
      <c r="H651" s="1"/>
      <c r="M651" s="1"/>
    </row>
    <row r="652">
      <c r="B652" s="1"/>
      <c r="C652" s="1"/>
      <c r="D652" s="1"/>
      <c r="E652" s="1"/>
      <c r="F652" s="1"/>
      <c r="G652" s="1"/>
      <c r="H652" s="1"/>
      <c r="M652" s="1"/>
    </row>
    <row r="653">
      <c r="B653" s="1"/>
      <c r="C653" s="1"/>
      <c r="D653" s="1"/>
      <c r="E653" s="1"/>
      <c r="F653" s="1"/>
      <c r="G653" s="1"/>
      <c r="H653" s="1"/>
      <c r="M653" s="1"/>
    </row>
    <row r="654">
      <c r="B654" s="1"/>
      <c r="C654" s="1"/>
      <c r="D654" s="1"/>
      <c r="E654" s="1"/>
      <c r="F654" s="1"/>
      <c r="G654" s="1"/>
      <c r="H654" s="1"/>
      <c r="M654" s="1"/>
    </row>
    <row r="655">
      <c r="B655" s="1"/>
      <c r="C655" s="1"/>
      <c r="D655" s="1"/>
      <c r="E655" s="1"/>
      <c r="F655" s="1"/>
      <c r="G655" s="1"/>
      <c r="H655" s="1"/>
      <c r="M655" s="1"/>
    </row>
    <row r="656">
      <c r="B656" s="1"/>
      <c r="C656" s="1"/>
      <c r="D656" s="1"/>
      <c r="E656" s="1"/>
      <c r="F656" s="1"/>
      <c r="G656" s="1"/>
      <c r="H656" s="1"/>
      <c r="M656" s="1"/>
    </row>
    <row r="657">
      <c r="B657" s="1"/>
      <c r="C657" s="1"/>
      <c r="D657" s="1"/>
      <c r="E657" s="1"/>
      <c r="F657" s="1"/>
      <c r="G657" s="1"/>
      <c r="H657" s="1"/>
      <c r="M657" s="1"/>
    </row>
    <row r="658">
      <c r="B658" s="1"/>
      <c r="C658" s="1"/>
      <c r="D658" s="1"/>
      <c r="E658" s="1"/>
      <c r="F658" s="1"/>
      <c r="G658" s="1"/>
      <c r="H658" s="1"/>
      <c r="M658" s="1"/>
    </row>
    <row r="659">
      <c r="B659" s="1"/>
      <c r="C659" s="1"/>
      <c r="D659" s="1"/>
      <c r="E659" s="1"/>
      <c r="F659" s="1"/>
      <c r="G659" s="1"/>
      <c r="H659" s="1"/>
      <c r="M659" s="1"/>
    </row>
    <row r="660">
      <c r="B660" s="1"/>
      <c r="C660" s="1"/>
      <c r="D660" s="1"/>
      <c r="E660" s="1"/>
      <c r="F660" s="1"/>
      <c r="G660" s="1"/>
      <c r="H660" s="1"/>
      <c r="M660" s="1"/>
    </row>
    <row r="661">
      <c r="B661" s="1"/>
      <c r="C661" s="1"/>
      <c r="D661" s="1"/>
      <c r="E661" s="1"/>
      <c r="F661" s="1"/>
      <c r="G661" s="1"/>
      <c r="H661" s="1"/>
      <c r="M661" s="1"/>
    </row>
    <row r="662">
      <c r="B662" s="1"/>
      <c r="C662" s="1"/>
      <c r="D662" s="1"/>
      <c r="E662" s="1"/>
      <c r="F662" s="1"/>
      <c r="G662" s="1"/>
      <c r="H662" s="1"/>
      <c r="M662" s="1"/>
    </row>
    <row r="663">
      <c r="B663" s="1"/>
      <c r="C663" s="1"/>
      <c r="D663" s="1"/>
      <c r="E663" s="1"/>
      <c r="F663" s="1"/>
      <c r="G663" s="1"/>
      <c r="H663" s="1"/>
      <c r="M663" s="1"/>
    </row>
    <row r="664">
      <c r="B664" s="1"/>
      <c r="C664" s="1"/>
      <c r="D664" s="1"/>
      <c r="E664" s="1"/>
      <c r="F664" s="1"/>
      <c r="G664" s="1"/>
      <c r="H664" s="1"/>
      <c r="M664" s="1"/>
    </row>
    <row r="665">
      <c r="B665" s="1"/>
      <c r="C665" s="1"/>
      <c r="D665" s="1"/>
      <c r="E665" s="1"/>
      <c r="F665" s="1"/>
      <c r="G665" s="1"/>
      <c r="H665" s="1"/>
      <c r="M665" s="1"/>
    </row>
    <row r="666">
      <c r="B666" s="1"/>
      <c r="C666" s="1"/>
      <c r="D666" s="1"/>
      <c r="E666" s="1"/>
      <c r="F666" s="1"/>
      <c r="G666" s="1"/>
      <c r="H666" s="1"/>
      <c r="M666" s="1"/>
    </row>
    <row r="667">
      <c r="B667" s="1"/>
      <c r="C667" s="1"/>
      <c r="D667" s="1"/>
      <c r="E667" s="1"/>
      <c r="F667" s="1"/>
      <c r="G667" s="1"/>
      <c r="H667" s="1"/>
      <c r="M667" s="1"/>
    </row>
    <row r="668">
      <c r="B668" s="1"/>
      <c r="C668" s="1"/>
      <c r="D668" s="1"/>
      <c r="E668" s="1"/>
      <c r="F668" s="1"/>
      <c r="G668" s="1"/>
      <c r="H668" s="1"/>
      <c r="M668" s="1"/>
    </row>
    <row r="669">
      <c r="B669" s="1"/>
      <c r="C669" s="1"/>
      <c r="D669" s="1"/>
      <c r="E669" s="1"/>
      <c r="F669" s="1"/>
      <c r="G669" s="1"/>
      <c r="H669" s="1"/>
      <c r="M669" s="1"/>
    </row>
    <row r="670">
      <c r="B670" s="1"/>
      <c r="C670" s="1"/>
      <c r="D670" s="1"/>
      <c r="E670" s="1"/>
      <c r="F670" s="1"/>
      <c r="G670" s="1"/>
      <c r="H670" s="1"/>
      <c r="M670" s="1"/>
    </row>
    <row r="671">
      <c r="B671" s="1"/>
      <c r="C671" s="1"/>
      <c r="D671" s="1"/>
      <c r="E671" s="1"/>
      <c r="F671" s="1"/>
      <c r="G671" s="1"/>
      <c r="H671" s="1"/>
      <c r="M671" s="1"/>
    </row>
    <row r="672">
      <c r="B672" s="1"/>
      <c r="C672" s="1"/>
      <c r="D672" s="1"/>
      <c r="E672" s="1"/>
      <c r="F672" s="1"/>
      <c r="G672" s="1"/>
      <c r="H672" s="1"/>
      <c r="M672" s="1"/>
    </row>
    <row r="673">
      <c r="B673" s="1"/>
      <c r="C673" s="1"/>
      <c r="D673" s="1"/>
      <c r="E673" s="1"/>
      <c r="F673" s="1"/>
      <c r="G673" s="1"/>
      <c r="H673" s="1"/>
      <c r="M673" s="1"/>
    </row>
    <row r="674">
      <c r="B674" s="1"/>
      <c r="C674" s="1"/>
      <c r="D674" s="1"/>
      <c r="E674" s="1"/>
      <c r="F674" s="1"/>
      <c r="G674" s="1"/>
      <c r="H674" s="1"/>
      <c r="M674" s="1"/>
    </row>
    <row r="675">
      <c r="B675" s="1"/>
      <c r="C675" s="1"/>
      <c r="D675" s="1"/>
      <c r="E675" s="1"/>
      <c r="F675" s="1"/>
      <c r="G675" s="1"/>
      <c r="H675" s="1"/>
      <c r="M675" s="1"/>
    </row>
    <row r="676">
      <c r="B676" s="1"/>
      <c r="C676" s="1"/>
      <c r="D676" s="1"/>
      <c r="E676" s="1"/>
      <c r="F676" s="1"/>
      <c r="G676" s="1"/>
      <c r="H676" s="1"/>
      <c r="M676" s="1"/>
    </row>
    <row r="677">
      <c r="B677" s="1"/>
      <c r="C677" s="1"/>
      <c r="D677" s="1"/>
      <c r="E677" s="1"/>
      <c r="F677" s="1"/>
      <c r="G677" s="1"/>
      <c r="H677" s="1"/>
      <c r="M677" s="1"/>
    </row>
    <row r="678">
      <c r="B678" s="1"/>
      <c r="C678" s="1"/>
      <c r="D678" s="1"/>
      <c r="E678" s="1"/>
      <c r="F678" s="1"/>
      <c r="G678" s="1"/>
      <c r="H678" s="1"/>
      <c r="M678" s="1"/>
    </row>
    <row r="679">
      <c r="B679" s="1"/>
      <c r="C679" s="1"/>
      <c r="D679" s="1"/>
      <c r="E679" s="1"/>
      <c r="F679" s="1"/>
      <c r="G679" s="1"/>
      <c r="H679" s="1"/>
      <c r="M679" s="1"/>
    </row>
    <row r="680">
      <c r="B680" s="1"/>
      <c r="C680" s="1"/>
      <c r="D680" s="1"/>
      <c r="E680" s="1"/>
      <c r="F680" s="1"/>
      <c r="G680" s="1"/>
      <c r="H680" s="1"/>
      <c r="M680" s="1"/>
    </row>
    <row r="681">
      <c r="B681" s="1"/>
      <c r="C681" s="1"/>
      <c r="D681" s="1"/>
      <c r="E681" s="1"/>
      <c r="F681" s="1"/>
      <c r="G681" s="1"/>
      <c r="H681" s="1"/>
      <c r="M681" s="1"/>
    </row>
    <row r="682">
      <c r="B682" s="1"/>
      <c r="C682" s="1"/>
      <c r="D682" s="1"/>
      <c r="E682" s="1"/>
      <c r="F682" s="1"/>
      <c r="G682" s="1"/>
      <c r="H682" s="1"/>
      <c r="M682" s="1"/>
    </row>
    <row r="683">
      <c r="B683" s="1"/>
      <c r="C683" s="1"/>
      <c r="D683" s="1"/>
      <c r="E683" s="1"/>
      <c r="F683" s="1"/>
      <c r="G683" s="1"/>
      <c r="H683" s="1"/>
      <c r="M683" s="1"/>
    </row>
    <row r="684">
      <c r="B684" s="1"/>
      <c r="C684" s="1"/>
      <c r="D684" s="1"/>
      <c r="E684" s="1"/>
      <c r="F684" s="1"/>
      <c r="G684" s="1"/>
      <c r="H684" s="1"/>
      <c r="M684" s="1"/>
    </row>
    <row r="685">
      <c r="B685" s="1"/>
      <c r="C685" s="1"/>
      <c r="D685" s="1"/>
      <c r="E685" s="1"/>
      <c r="F685" s="1"/>
      <c r="G685" s="1"/>
      <c r="H685" s="1"/>
      <c r="M685" s="1"/>
    </row>
    <row r="686">
      <c r="B686" s="1"/>
      <c r="C686" s="1"/>
      <c r="D686" s="1"/>
      <c r="E686" s="1"/>
      <c r="F686" s="1"/>
      <c r="G686" s="1"/>
      <c r="H686" s="1"/>
      <c r="M686" s="1"/>
    </row>
    <row r="687">
      <c r="B687" s="1"/>
      <c r="C687" s="1"/>
      <c r="D687" s="1"/>
      <c r="E687" s="1"/>
      <c r="F687" s="1"/>
      <c r="G687" s="1"/>
      <c r="H687" s="1"/>
      <c r="M687" s="1"/>
    </row>
    <row r="688">
      <c r="B688" s="1"/>
      <c r="C688" s="1"/>
      <c r="D688" s="1"/>
      <c r="E688" s="1"/>
      <c r="F688" s="1"/>
      <c r="G688" s="1"/>
      <c r="H688" s="1"/>
      <c r="M688" s="1"/>
    </row>
    <row r="689">
      <c r="B689" s="1"/>
      <c r="C689" s="1"/>
      <c r="D689" s="1"/>
      <c r="E689" s="1"/>
      <c r="F689" s="1"/>
      <c r="G689" s="1"/>
      <c r="H689" s="1"/>
      <c r="M689" s="1"/>
    </row>
    <row r="690">
      <c r="B690" s="1"/>
      <c r="C690" s="1"/>
      <c r="D690" s="1"/>
      <c r="E690" s="1"/>
      <c r="F690" s="1"/>
      <c r="G690" s="1"/>
      <c r="H690" s="1"/>
      <c r="M690" s="1"/>
    </row>
    <row r="691">
      <c r="B691" s="1"/>
      <c r="C691" s="1"/>
      <c r="D691" s="1"/>
      <c r="E691" s="1"/>
      <c r="F691" s="1"/>
      <c r="G691" s="1"/>
      <c r="H691" s="1"/>
      <c r="M691" s="1"/>
    </row>
    <row r="692">
      <c r="B692" s="1"/>
      <c r="C692" s="1"/>
      <c r="D692" s="1"/>
      <c r="E692" s="1"/>
      <c r="F692" s="1"/>
      <c r="G692" s="1"/>
      <c r="H692" s="1"/>
      <c r="M692" s="1"/>
    </row>
    <row r="693">
      <c r="B693" s="1"/>
      <c r="C693" s="1"/>
      <c r="D693" s="1"/>
      <c r="E693" s="1"/>
      <c r="F693" s="1"/>
      <c r="G693" s="1"/>
      <c r="H693" s="1"/>
      <c r="M693" s="1"/>
    </row>
    <row r="694">
      <c r="B694" s="1"/>
      <c r="C694" s="1"/>
      <c r="D694" s="1"/>
      <c r="E694" s="1"/>
      <c r="F694" s="1"/>
      <c r="G694" s="1"/>
      <c r="H694" s="1"/>
      <c r="M694" s="1"/>
    </row>
    <row r="695">
      <c r="B695" s="1"/>
      <c r="C695" s="1"/>
      <c r="D695" s="1"/>
      <c r="E695" s="1"/>
      <c r="F695" s="1"/>
      <c r="G695" s="1"/>
      <c r="H695" s="1"/>
      <c r="M695" s="1"/>
    </row>
    <row r="696">
      <c r="B696" s="1"/>
      <c r="C696" s="1"/>
      <c r="D696" s="1"/>
      <c r="E696" s="1"/>
      <c r="F696" s="1"/>
      <c r="G696" s="1"/>
      <c r="H696" s="1"/>
      <c r="M696" s="1"/>
    </row>
    <row r="697">
      <c r="B697" s="1"/>
      <c r="C697" s="1"/>
      <c r="D697" s="1"/>
      <c r="E697" s="1"/>
      <c r="F697" s="1"/>
      <c r="G697" s="1"/>
      <c r="H697" s="1"/>
      <c r="M697" s="1"/>
    </row>
    <row r="698">
      <c r="B698" s="1"/>
      <c r="C698" s="1"/>
      <c r="D698" s="1"/>
      <c r="E698" s="1"/>
      <c r="F698" s="1"/>
      <c r="G698" s="1"/>
      <c r="H698" s="1"/>
      <c r="M698" s="1"/>
    </row>
    <row r="699">
      <c r="B699" s="1"/>
      <c r="C699" s="1"/>
      <c r="D699" s="1"/>
      <c r="E699" s="1"/>
      <c r="F699" s="1"/>
      <c r="G699" s="1"/>
      <c r="H699" s="1"/>
      <c r="M699" s="1"/>
    </row>
    <row r="700">
      <c r="B700" s="1"/>
      <c r="C700" s="1"/>
      <c r="D700" s="1"/>
      <c r="E700" s="1"/>
      <c r="F700" s="1"/>
      <c r="G700" s="1"/>
      <c r="H700" s="1"/>
      <c r="M700" s="1"/>
    </row>
    <row r="701">
      <c r="B701" s="1"/>
      <c r="C701" s="1"/>
      <c r="D701" s="1"/>
      <c r="E701" s="1"/>
      <c r="F701" s="1"/>
      <c r="G701" s="1"/>
      <c r="H701" s="1"/>
      <c r="M701" s="1"/>
    </row>
    <row r="702">
      <c r="B702" s="1"/>
      <c r="C702" s="1"/>
      <c r="D702" s="1"/>
      <c r="E702" s="1"/>
      <c r="F702" s="1"/>
      <c r="G702" s="1"/>
      <c r="H702" s="1"/>
      <c r="M702" s="1"/>
    </row>
    <row r="703">
      <c r="B703" s="1"/>
      <c r="C703" s="1"/>
      <c r="D703" s="1"/>
      <c r="E703" s="1"/>
      <c r="F703" s="1"/>
      <c r="G703" s="1"/>
      <c r="H703" s="1"/>
      <c r="M703" s="1"/>
    </row>
    <row r="704">
      <c r="B704" s="1"/>
      <c r="C704" s="1"/>
      <c r="D704" s="1"/>
      <c r="E704" s="1"/>
      <c r="F704" s="1"/>
      <c r="G704" s="1"/>
      <c r="H704" s="1"/>
      <c r="M704" s="1"/>
    </row>
    <row r="705">
      <c r="B705" s="1"/>
      <c r="C705" s="1"/>
      <c r="D705" s="1"/>
      <c r="E705" s="1"/>
      <c r="F705" s="1"/>
      <c r="G705" s="1"/>
      <c r="H705" s="1"/>
      <c r="M705" s="1"/>
    </row>
    <row r="706">
      <c r="B706" s="1"/>
      <c r="C706" s="1"/>
      <c r="D706" s="1"/>
      <c r="E706" s="1"/>
      <c r="F706" s="1"/>
      <c r="G706" s="1"/>
      <c r="H706" s="1"/>
      <c r="M706" s="1"/>
    </row>
    <row r="707">
      <c r="B707" s="1"/>
      <c r="C707" s="1"/>
      <c r="D707" s="1"/>
      <c r="E707" s="1"/>
      <c r="F707" s="1"/>
      <c r="G707" s="1"/>
      <c r="H707" s="1"/>
      <c r="M707" s="1"/>
    </row>
    <row r="708">
      <c r="B708" s="1"/>
      <c r="C708" s="1"/>
      <c r="D708" s="1"/>
      <c r="E708" s="1"/>
      <c r="F708" s="1"/>
      <c r="G708" s="1"/>
      <c r="H708" s="1"/>
      <c r="M708" s="1"/>
    </row>
    <row r="709">
      <c r="B709" s="1"/>
      <c r="C709" s="1"/>
      <c r="D709" s="1"/>
      <c r="E709" s="1"/>
      <c r="F709" s="1"/>
      <c r="G709" s="1"/>
      <c r="H709" s="1"/>
      <c r="M709" s="1"/>
    </row>
    <row r="710">
      <c r="B710" s="1"/>
      <c r="C710" s="1"/>
      <c r="D710" s="1"/>
      <c r="E710" s="1"/>
      <c r="F710" s="1"/>
      <c r="G710" s="1"/>
      <c r="H710" s="1"/>
      <c r="M710" s="1"/>
    </row>
    <row r="711">
      <c r="B711" s="1"/>
      <c r="C711" s="1"/>
      <c r="D711" s="1"/>
      <c r="E711" s="1"/>
      <c r="F711" s="1"/>
      <c r="G711" s="1"/>
      <c r="H711" s="1"/>
      <c r="M711" s="1"/>
    </row>
    <row r="712">
      <c r="B712" s="1"/>
      <c r="C712" s="1"/>
      <c r="D712" s="1"/>
      <c r="E712" s="1"/>
      <c r="F712" s="1"/>
      <c r="G712" s="1"/>
      <c r="H712" s="1"/>
      <c r="M712" s="1"/>
    </row>
    <row r="713">
      <c r="B713" s="1"/>
      <c r="C713" s="1"/>
      <c r="D713" s="1"/>
      <c r="E713" s="1"/>
      <c r="F713" s="1"/>
      <c r="G713" s="1"/>
      <c r="H713" s="1"/>
      <c r="M713" s="1"/>
    </row>
    <row r="714">
      <c r="B714" s="1"/>
      <c r="C714" s="1"/>
      <c r="D714" s="1"/>
      <c r="E714" s="1"/>
      <c r="F714" s="1"/>
      <c r="G714" s="1"/>
      <c r="H714" s="1"/>
      <c r="M714" s="1"/>
    </row>
    <row r="715">
      <c r="B715" s="1"/>
      <c r="C715" s="1"/>
      <c r="D715" s="1"/>
      <c r="E715" s="1"/>
      <c r="F715" s="1"/>
      <c r="G715" s="1"/>
      <c r="H715" s="1"/>
      <c r="M715" s="1"/>
    </row>
    <row r="716">
      <c r="B716" s="1"/>
      <c r="C716" s="1"/>
      <c r="D716" s="1"/>
      <c r="E716" s="1"/>
      <c r="F716" s="1"/>
      <c r="G716" s="1"/>
      <c r="H716" s="1"/>
      <c r="M716" s="1"/>
    </row>
    <row r="717">
      <c r="B717" s="1"/>
      <c r="C717" s="1"/>
      <c r="D717" s="1"/>
      <c r="E717" s="1"/>
      <c r="F717" s="1"/>
      <c r="G717" s="1"/>
      <c r="H717" s="1"/>
      <c r="M717" s="1"/>
    </row>
    <row r="718">
      <c r="B718" s="1"/>
      <c r="C718" s="1"/>
      <c r="D718" s="1"/>
      <c r="E718" s="1"/>
      <c r="F718" s="1"/>
      <c r="G718" s="1"/>
      <c r="H718" s="1"/>
      <c r="M718" s="1"/>
    </row>
    <row r="719">
      <c r="B719" s="1"/>
      <c r="C719" s="1"/>
      <c r="D719" s="1"/>
      <c r="E719" s="1"/>
      <c r="F719" s="1"/>
      <c r="G719" s="1"/>
      <c r="H719" s="1"/>
      <c r="M719" s="1"/>
    </row>
    <row r="720">
      <c r="B720" s="1"/>
      <c r="C720" s="1"/>
      <c r="D720" s="1"/>
      <c r="E720" s="1"/>
      <c r="F720" s="1"/>
      <c r="G720" s="1"/>
      <c r="H720" s="1"/>
      <c r="M720" s="1"/>
    </row>
    <row r="721">
      <c r="B721" s="1"/>
      <c r="C721" s="1"/>
      <c r="D721" s="1"/>
      <c r="E721" s="1"/>
      <c r="F721" s="1"/>
      <c r="G721" s="1"/>
      <c r="H721" s="1"/>
      <c r="M721" s="1"/>
    </row>
    <row r="722">
      <c r="B722" s="1"/>
      <c r="C722" s="1"/>
      <c r="D722" s="1"/>
      <c r="E722" s="1"/>
      <c r="F722" s="1"/>
      <c r="G722" s="1"/>
      <c r="H722" s="1"/>
      <c r="M722" s="1"/>
    </row>
    <row r="723">
      <c r="B723" s="1"/>
      <c r="C723" s="1"/>
      <c r="D723" s="1"/>
      <c r="E723" s="1"/>
      <c r="F723" s="1"/>
      <c r="G723" s="1"/>
      <c r="H723" s="1"/>
      <c r="M723" s="1"/>
    </row>
    <row r="724">
      <c r="B724" s="1"/>
      <c r="C724" s="1"/>
      <c r="D724" s="1"/>
      <c r="E724" s="1"/>
      <c r="F724" s="1"/>
      <c r="G724" s="1"/>
      <c r="H724" s="1"/>
      <c r="M724" s="1"/>
    </row>
    <row r="725">
      <c r="B725" s="1"/>
      <c r="C725" s="1"/>
      <c r="D725" s="1"/>
      <c r="E725" s="1"/>
      <c r="F725" s="1"/>
      <c r="G725" s="1"/>
      <c r="H725" s="1"/>
      <c r="M725" s="1"/>
    </row>
    <row r="726">
      <c r="B726" s="1"/>
      <c r="C726" s="1"/>
      <c r="D726" s="1"/>
      <c r="E726" s="1"/>
      <c r="F726" s="1"/>
      <c r="G726" s="1"/>
      <c r="H726" s="1"/>
      <c r="M726" s="1"/>
    </row>
    <row r="727">
      <c r="B727" s="1"/>
      <c r="C727" s="1"/>
      <c r="D727" s="1"/>
      <c r="E727" s="1"/>
      <c r="F727" s="1"/>
      <c r="G727" s="1"/>
      <c r="H727" s="1"/>
      <c r="M727" s="1"/>
    </row>
    <row r="728">
      <c r="B728" s="1"/>
      <c r="C728" s="1"/>
      <c r="D728" s="1"/>
      <c r="E728" s="1"/>
      <c r="F728" s="1"/>
      <c r="G728" s="1"/>
      <c r="H728" s="1"/>
      <c r="M728" s="1"/>
    </row>
    <row r="729">
      <c r="B729" s="1"/>
      <c r="C729" s="1"/>
      <c r="D729" s="1"/>
      <c r="E729" s="1"/>
      <c r="F729" s="1"/>
      <c r="G729" s="1"/>
      <c r="H729" s="1"/>
      <c r="M729" s="1"/>
    </row>
    <row r="730">
      <c r="B730" s="1"/>
      <c r="C730" s="1"/>
      <c r="D730" s="1"/>
      <c r="E730" s="1"/>
      <c r="F730" s="1"/>
      <c r="G730" s="1"/>
      <c r="H730" s="1"/>
      <c r="M730" s="1"/>
    </row>
    <row r="731">
      <c r="B731" s="1"/>
      <c r="C731" s="1"/>
      <c r="D731" s="1"/>
      <c r="E731" s="1"/>
      <c r="F731" s="1"/>
      <c r="G731" s="1"/>
      <c r="H731" s="1"/>
      <c r="M731" s="1"/>
    </row>
    <row r="732">
      <c r="B732" s="1"/>
      <c r="C732" s="1"/>
      <c r="D732" s="1"/>
      <c r="E732" s="1"/>
      <c r="F732" s="1"/>
      <c r="G732" s="1"/>
      <c r="H732" s="1"/>
      <c r="M732" s="1"/>
    </row>
    <row r="733">
      <c r="B733" s="1"/>
      <c r="C733" s="1"/>
      <c r="D733" s="1"/>
      <c r="E733" s="1"/>
      <c r="F733" s="1"/>
      <c r="G733" s="1"/>
      <c r="H733" s="1"/>
      <c r="M733" s="1"/>
    </row>
    <row r="734">
      <c r="B734" s="1"/>
      <c r="C734" s="1"/>
      <c r="D734" s="1"/>
      <c r="E734" s="1"/>
      <c r="F734" s="1"/>
      <c r="G734" s="1"/>
      <c r="H734" s="1"/>
      <c r="M734" s="1"/>
    </row>
    <row r="735">
      <c r="B735" s="1"/>
      <c r="C735" s="1"/>
      <c r="D735" s="1"/>
      <c r="E735" s="1"/>
      <c r="F735" s="1"/>
      <c r="G735" s="1"/>
      <c r="H735" s="1"/>
      <c r="M735" s="1"/>
    </row>
    <row r="736">
      <c r="B736" s="1"/>
      <c r="C736" s="1"/>
      <c r="D736" s="1"/>
      <c r="E736" s="1"/>
      <c r="F736" s="1"/>
      <c r="G736" s="1"/>
      <c r="H736" s="1"/>
      <c r="M736" s="1"/>
    </row>
    <row r="737">
      <c r="B737" s="1"/>
      <c r="C737" s="1"/>
      <c r="D737" s="1"/>
      <c r="E737" s="1"/>
      <c r="F737" s="1"/>
      <c r="G737" s="1"/>
      <c r="H737" s="1"/>
      <c r="M737" s="1"/>
    </row>
    <row r="738">
      <c r="B738" s="1"/>
      <c r="C738" s="1"/>
      <c r="D738" s="1"/>
      <c r="E738" s="1"/>
      <c r="F738" s="1"/>
      <c r="G738" s="1"/>
      <c r="H738" s="1"/>
      <c r="M738" s="1"/>
    </row>
    <row r="739">
      <c r="B739" s="1"/>
      <c r="C739" s="1"/>
      <c r="D739" s="1"/>
      <c r="E739" s="1"/>
      <c r="F739" s="1"/>
      <c r="G739" s="1"/>
      <c r="H739" s="1"/>
      <c r="M739" s="1"/>
    </row>
    <row r="740">
      <c r="B740" s="1"/>
      <c r="C740" s="1"/>
      <c r="D740" s="1"/>
      <c r="E740" s="1"/>
      <c r="F740" s="1"/>
      <c r="G740" s="1"/>
      <c r="H740" s="1"/>
      <c r="M740" s="1"/>
    </row>
    <row r="741">
      <c r="B741" s="1"/>
      <c r="C741" s="1"/>
      <c r="D741" s="1"/>
      <c r="E741" s="1"/>
      <c r="F741" s="1"/>
      <c r="G741" s="1"/>
      <c r="H741" s="1"/>
      <c r="M741" s="1"/>
    </row>
    <row r="742">
      <c r="B742" s="1"/>
      <c r="C742" s="1"/>
      <c r="D742" s="1"/>
      <c r="E742" s="1"/>
      <c r="F742" s="1"/>
      <c r="G742" s="1"/>
      <c r="H742" s="1"/>
      <c r="M742" s="1"/>
    </row>
    <row r="743">
      <c r="B743" s="1"/>
      <c r="C743" s="1"/>
      <c r="D743" s="1"/>
      <c r="E743" s="1"/>
      <c r="F743" s="1"/>
      <c r="G743" s="1"/>
      <c r="H743" s="1"/>
      <c r="M743" s="1"/>
    </row>
    <row r="744">
      <c r="B744" s="1"/>
      <c r="C744" s="1"/>
      <c r="D744" s="1"/>
      <c r="E744" s="1"/>
      <c r="F744" s="1"/>
      <c r="G744" s="1"/>
      <c r="H744" s="1"/>
      <c r="M744" s="1"/>
    </row>
    <row r="745">
      <c r="B745" s="1"/>
      <c r="C745" s="1"/>
      <c r="D745" s="1"/>
      <c r="E745" s="1"/>
      <c r="F745" s="1"/>
      <c r="G745" s="1"/>
      <c r="H745" s="1"/>
      <c r="M745" s="1"/>
    </row>
    <row r="746">
      <c r="B746" s="1"/>
      <c r="C746" s="1"/>
      <c r="D746" s="1"/>
      <c r="E746" s="1"/>
      <c r="F746" s="1"/>
      <c r="G746" s="1"/>
      <c r="H746" s="1"/>
      <c r="M746" s="1"/>
    </row>
    <row r="747">
      <c r="B747" s="1"/>
      <c r="C747" s="1"/>
      <c r="D747" s="1"/>
      <c r="E747" s="1"/>
      <c r="F747" s="1"/>
      <c r="G747" s="1"/>
      <c r="H747" s="1"/>
      <c r="M747" s="1"/>
    </row>
    <row r="748">
      <c r="B748" s="1"/>
      <c r="C748" s="1"/>
      <c r="D748" s="1"/>
      <c r="E748" s="1"/>
      <c r="F748" s="1"/>
      <c r="G748" s="1"/>
      <c r="H748" s="1"/>
      <c r="M748" s="1"/>
    </row>
    <row r="749">
      <c r="B749" s="1"/>
      <c r="C749" s="1"/>
      <c r="D749" s="1"/>
      <c r="E749" s="1"/>
      <c r="F749" s="1"/>
      <c r="G749" s="1"/>
      <c r="H749" s="1"/>
      <c r="M749" s="1"/>
    </row>
    <row r="750">
      <c r="B750" s="1"/>
      <c r="C750" s="1"/>
      <c r="D750" s="1"/>
      <c r="E750" s="1"/>
      <c r="F750" s="1"/>
      <c r="G750" s="1"/>
      <c r="H750" s="1"/>
      <c r="M750" s="1"/>
    </row>
    <row r="751">
      <c r="B751" s="1"/>
      <c r="C751" s="1"/>
      <c r="D751" s="1"/>
      <c r="E751" s="1"/>
      <c r="F751" s="1"/>
      <c r="G751" s="1"/>
      <c r="H751" s="1"/>
      <c r="M751" s="1"/>
    </row>
    <row r="752">
      <c r="B752" s="1"/>
      <c r="C752" s="1"/>
      <c r="D752" s="1"/>
      <c r="E752" s="1"/>
      <c r="F752" s="1"/>
      <c r="G752" s="1"/>
      <c r="H752" s="1"/>
      <c r="M752" s="1"/>
    </row>
    <row r="753">
      <c r="B753" s="1"/>
      <c r="C753" s="1"/>
      <c r="D753" s="1"/>
      <c r="E753" s="1"/>
      <c r="F753" s="1"/>
      <c r="G753" s="1"/>
      <c r="H753" s="1"/>
      <c r="M753" s="1"/>
    </row>
    <row r="754">
      <c r="B754" s="1"/>
      <c r="C754" s="1"/>
      <c r="D754" s="1"/>
      <c r="E754" s="1"/>
      <c r="F754" s="1"/>
      <c r="G754" s="1"/>
      <c r="H754" s="1"/>
      <c r="M754" s="1"/>
    </row>
    <row r="755">
      <c r="B755" s="1"/>
      <c r="C755" s="1"/>
      <c r="D755" s="1"/>
      <c r="E755" s="1"/>
      <c r="F755" s="1"/>
      <c r="G755" s="1"/>
      <c r="H755" s="1"/>
      <c r="M755" s="1"/>
    </row>
    <row r="756">
      <c r="B756" s="1"/>
      <c r="C756" s="1"/>
      <c r="D756" s="1"/>
      <c r="E756" s="1"/>
      <c r="F756" s="1"/>
      <c r="G756" s="1"/>
      <c r="H756" s="1"/>
      <c r="M756" s="1"/>
    </row>
    <row r="757">
      <c r="B757" s="1"/>
      <c r="C757" s="1"/>
      <c r="D757" s="1"/>
      <c r="E757" s="1"/>
      <c r="F757" s="1"/>
      <c r="G757" s="1"/>
      <c r="H757" s="1"/>
      <c r="M757" s="1"/>
    </row>
    <row r="758">
      <c r="B758" s="1"/>
      <c r="C758" s="1"/>
      <c r="D758" s="1"/>
      <c r="E758" s="1"/>
      <c r="F758" s="1"/>
      <c r="G758" s="1"/>
      <c r="H758" s="1"/>
      <c r="M758" s="1"/>
    </row>
    <row r="759">
      <c r="B759" s="1"/>
      <c r="C759" s="1"/>
      <c r="D759" s="1"/>
      <c r="E759" s="1"/>
      <c r="F759" s="1"/>
      <c r="G759" s="1"/>
      <c r="H759" s="1"/>
      <c r="M759" s="1"/>
    </row>
    <row r="760">
      <c r="B760" s="1"/>
      <c r="C760" s="1"/>
      <c r="D760" s="1"/>
      <c r="E760" s="1"/>
      <c r="F760" s="1"/>
      <c r="G760" s="1"/>
      <c r="H760" s="1"/>
      <c r="M760" s="1"/>
    </row>
    <row r="761">
      <c r="B761" s="1"/>
      <c r="C761" s="1"/>
      <c r="D761" s="1"/>
      <c r="E761" s="1"/>
      <c r="F761" s="1"/>
      <c r="G761" s="1"/>
      <c r="H761" s="1"/>
      <c r="M761" s="1"/>
    </row>
    <row r="762">
      <c r="B762" s="1"/>
      <c r="C762" s="1"/>
      <c r="D762" s="1"/>
      <c r="E762" s="1"/>
      <c r="F762" s="1"/>
      <c r="G762" s="1"/>
      <c r="H762" s="1"/>
      <c r="M762" s="1"/>
    </row>
    <row r="763">
      <c r="B763" s="1"/>
      <c r="C763" s="1"/>
      <c r="D763" s="1"/>
      <c r="E763" s="1"/>
      <c r="F763" s="1"/>
      <c r="G763" s="1"/>
      <c r="H763" s="1"/>
      <c r="M763" s="1"/>
    </row>
    <row r="764">
      <c r="B764" s="1"/>
      <c r="C764" s="1"/>
      <c r="D764" s="1"/>
      <c r="E764" s="1"/>
      <c r="F764" s="1"/>
      <c r="G764" s="1"/>
      <c r="H764" s="1"/>
      <c r="M764" s="1"/>
    </row>
    <row r="765">
      <c r="B765" s="1"/>
      <c r="C765" s="1"/>
      <c r="D765" s="1"/>
      <c r="E765" s="1"/>
      <c r="F765" s="1"/>
      <c r="G765" s="1"/>
      <c r="H765" s="1"/>
      <c r="M765" s="1"/>
    </row>
    <row r="766">
      <c r="B766" s="1"/>
      <c r="C766" s="1"/>
      <c r="D766" s="1"/>
      <c r="E766" s="1"/>
      <c r="F766" s="1"/>
      <c r="G766" s="1"/>
      <c r="H766" s="1"/>
      <c r="M766" s="1"/>
    </row>
    <row r="767">
      <c r="B767" s="1"/>
      <c r="C767" s="1"/>
      <c r="D767" s="1"/>
      <c r="E767" s="1"/>
      <c r="F767" s="1"/>
      <c r="G767" s="1"/>
      <c r="H767" s="1"/>
      <c r="M767" s="1"/>
    </row>
    <row r="768">
      <c r="B768" s="1"/>
      <c r="C768" s="1"/>
      <c r="D768" s="1"/>
      <c r="E768" s="1"/>
      <c r="F768" s="1"/>
      <c r="G768" s="1"/>
      <c r="H768" s="1"/>
      <c r="M768" s="1"/>
    </row>
    <row r="769">
      <c r="B769" s="1"/>
      <c r="C769" s="1"/>
      <c r="D769" s="1"/>
      <c r="E769" s="1"/>
      <c r="F769" s="1"/>
      <c r="G769" s="1"/>
      <c r="H769" s="1"/>
      <c r="M769" s="1"/>
    </row>
    <row r="770">
      <c r="B770" s="1"/>
      <c r="C770" s="1"/>
      <c r="D770" s="1"/>
      <c r="E770" s="1"/>
      <c r="F770" s="1"/>
      <c r="G770" s="1"/>
      <c r="H770" s="1"/>
      <c r="M770" s="1"/>
    </row>
    <row r="771">
      <c r="B771" s="1"/>
      <c r="C771" s="1"/>
      <c r="D771" s="1"/>
      <c r="E771" s="1"/>
      <c r="F771" s="1"/>
      <c r="G771" s="1"/>
      <c r="H771" s="1"/>
      <c r="M771" s="1"/>
    </row>
    <row r="772">
      <c r="B772" s="1"/>
      <c r="C772" s="1"/>
      <c r="D772" s="1"/>
      <c r="E772" s="1"/>
      <c r="F772" s="1"/>
      <c r="G772" s="1"/>
      <c r="H772" s="1"/>
      <c r="M772" s="1"/>
    </row>
    <row r="773">
      <c r="B773" s="1"/>
      <c r="C773" s="1"/>
      <c r="D773" s="1"/>
      <c r="E773" s="1"/>
      <c r="F773" s="1"/>
      <c r="G773" s="1"/>
      <c r="H773" s="1"/>
      <c r="M773" s="1"/>
    </row>
    <row r="774">
      <c r="B774" s="1"/>
      <c r="C774" s="1"/>
      <c r="D774" s="1"/>
      <c r="E774" s="1"/>
      <c r="F774" s="1"/>
      <c r="G774" s="1"/>
      <c r="H774" s="1"/>
      <c r="M774" s="1"/>
    </row>
    <row r="775">
      <c r="B775" s="1"/>
      <c r="C775" s="1"/>
      <c r="D775" s="1"/>
      <c r="E775" s="1"/>
      <c r="F775" s="1"/>
      <c r="G775" s="1"/>
      <c r="H775" s="1"/>
      <c r="M775" s="1"/>
    </row>
    <row r="776">
      <c r="B776" s="1"/>
      <c r="C776" s="1"/>
      <c r="D776" s="1"/>
      <c r="E776" s="1"/>
      <c r="F776" s="1"/>
      <c r="G776" s="1"/>
      <c r="H776" s="1"/>
      <c r="M776" s="1"/>
    </row>
    <row r="777">
      <c r="B777" s="1"/>
      <c r="C777" s="1"/>
      <c r="D777" s="1"/>
      <c r="E777" s="1"/>
      <c r="F777" s="1"/>
      <c r="G777" s="1"/>
      <c r="H777" s="1"/>
      <c r="M777" s="1"/>
    </row>
    <row r="778">
      <c r="B778" s="1"/>
      <c r="C778" s="1"/>
      <c r="D778" s="1"/>
      <c r="E778" s="1"/>
      <c r="F778" s="1"/>
      <c r="G778" s="1"/>
      <c r="H778" s="1"/>
      <c r="M778" s="1"/>
    </row>
    <row r="779">
      <c r="B779" s="1"/>
      <c r="C779" s="1"/>
      <c r="D779" s="1"/>
      <c r="E779" s="1"/>
      <c r="F779" s="1"/>
      <c r="G779" s="1"/>
      <c r="H779" s="1"/>
      <c r="M779" s="1"/>
    </row>
    <row r="780">
      <c r="B780" s="1"/>
      <c r="C780" s="1"/>
      <c r="D780" s="1"/>
      <c r="E780" s="1"/>
      <c r="F780" s="1"/>
      <c r="G780" s="1"/>
      <c r="H780" s="1"/>
      <c r="M780" s="1"/>
    </row>
    <row r="781">
      <c r="B781" s="1"/>
      <c r="C781" s="1"/>
      <c r="D781" s="1"/>
      <c r="E781" s="1"/>
      <c r="F781" s="1"/>
      <c r="G781" s="1"/>
      <c r="H781" s="1"/>
      <c r="M781" s="1"/>
    </row>
    <row r="782">
      <c r="B782" s="1"/>
      <c r="C782" s="1"/>
      <c r="D782" s="1"/>
      <c r="E782" s="1"/>
      <c r="F782" s="1"/>
      <c r="G782" s="1"/>
      <c r="H782" s="1"/>
      <c r="M782" s="1"/>
    </row>
    <row r="783">
      <c r="B783" s="1"/>
      <c r="C783" s="1"/>
      <c r="D783" s="1"/>
      <c r="E783" s="1"/>
      <c r="F783" s="1"/>
      <c r="G783" s="1"/>
      <c r="H783" s="1"/>
      <c r="M783" s="1"/>
    </row>
    <row r="784">
      <c r="B784" s="1"/>
      <c r="C784" s="1"/>
      <c r="D784" s="1"/>
      <c r="E784" s="1"/>
      <c r="F784" s="1"/>
      <c r="G784" s="1"/>
      <c r="H784" s="1"/>
      <c r="M784" s="1"/>
    </row>
    <row r="785">
      <c r="B785" s="1"/>
      <c r="C785" s="1"/>
      <c r="D785" s="1"/>
      <c r="E785" s="1"/>
      <c r="F785" s="1"/>
      <c r="G785" s="1"/>
      <c r="H785" s="1"/>
      <c r="M785" s="1"/>
    </row>
    <row r="786">
      <c r="B786" s="1"/>
      <c r="C786" s="1"/>
      <c r="D786" s="1"/>
      <c r="E786" s="1"/>
      <c r="F786" s="1"/>
      <c r="G786" s="1"/>
      <c r="H786" s="1"/>
      <c r="M786" s="1"/>
    </row>
    <row r="787">
      <c r="B787" s="1"/>
      <c r="C787" s="1"/>
      <c r="D787" s="1"/>
      <c r="E787" s="1"/>
      <c r="F787" s="1"/>
      <c r="G787" s="1"/>
      <c r="H787" s="1"/>
      <c r="M787" s="1"/>
    </row>
    <row r="788">
      <c r="B788" s="1"/>
      <c r="C788" s="1"/>
      <c r="D788" s="1"/>
      <c r="E788" s="1"/>
      <c r="F788" s="1"/>
      <c r="G788" s="1"/>
      <c r="H788" s="1"/>
      <c r="M788" s="1"/>
    </row>
    <row r="789">
      <c r="B789" s="1"/>
      <c r="C789" s="1"/>
      <c r="D789" s="1"/>
      <c r="E789" s="1"/>
      <c r="F789" s="1"/>
      <c r="G789" s="1"/>
      <c r="H789" s="1"/>
      <c r="M789" s="1"/>
    </row>
    <row r="790">
      <c r="B790" s="1"/>
      <c r="C790" s="1"/>
      <c r="D790" s="1"/>
      <c r="E790" s="1"/>
      <c r="F790" s="1"/>
      <c r="G790" s="1"/>
      <c r="H790" s="1"/>
      <c r="M790" s="1"/>
    </row>
    <row r="791">
      <c r="B791" s="1"/>
      <c r="C791" s="1"/>
      <c r="D791" s="1"/>
      <c r="E791" s="1"/>
      <c r="F791" s="1"/>
      <c r="G791" s="1"/>
      <c r="H791" s="1"/>
      <c r="M791" s="1"/>
    </row>
    <row r="792">
      <c r="B792" s="1"/>
      <c r="C792" s="1"/>
      <c r="D792" s="1"/>
      <c r="E792" s="1"/>
      <c r="F792" s="1"/>
      <c r="G792" s="1"/>
      <c r="H792" s="1"/>
      <c r="M792" s="1"/>
    </row>
    <row r="793">
      <c r="B793" s="1"/>
      <c r="C793" s="1"/>
      <c r="D793" s="1"/>
      <c r="E793" s="1"/>
      <c r="F793" s="1"/>
      <c r="G793" s="1"/>
      <c r="H793" s="1"/>
      <c r="M793" s="1"/>
    </row>
    <row r="794">
      <c r="B794" s="1"/>
      <c r="C794" s="1"/>
      <c r="D794" s="1"/>
      <c r="E794" s="1"/>
      <c r="F794" s="1"/>
      <c r="G794" s="1"/>
      <c r="H794" s="1"/>
      <c r="M794" s="1"/>
    </row>
    <row r="795">
      <c r="B795" s="1"/>
      <c r="C795" s="1"/>
      <c r="D795" s="1"/>
      <c r="E795" s="1"/>
      <c r="F795" s="1"/>
      <c r="G795" s="1"/>
      <c r="H795" s="1"/>
      <c r="M795" s="1"/>
    </row>
    <row r="796">
      <c r="B796" s="1"/>
      <c r="C796" s="1"/>
      <c r="D796" s="1"/>
      <c r="E796" s="1"/>
      <c r="F796" s="1"/>
      <c r="G796" s="1"/>
      <c r="H796" s="1"/>
      <c r="M796" s="1"/>
    </row>
    <row r="797">
      <c r="B797" s="1"/>
      <c r="C797" s="1"/>
      <c r="D797" s="1"/>
      <c r="E797" s="1"/>
      <c r="F797" s="1"/>
      <c r="G797" s="1"/>
      <c r="H797" s="1"/>
      <c r="M797" s="1"/>
    </row>
    <row r="798">
      <c r="B798" s="1"/>
      <c r="C798" s="1"/>
      <c r="D798" s="1"/>
      <c r="E798" s="1"/>
      <c r="F798" s="1"/>
      <c r="G798" s="1"/>
      <c r="H798" s="1"/>
      <c r="M798" s="1"/>
    </row>
    <row r="799">
      <c r="B799" s="1"/>
      <c r="C799" s="1"/>
      <c r="D799" s="1"/>
      <c r="E799" s="1"/>
      <c r="F799" s="1"/>
      <c r="G799" s="1"/>
      <c r="H799" s="1"/>
      <c r="M799" s="1"/>
    </row>
    <row r="800">
      <c r="B800" s="1"/>
      <c r="C800" s="1"/>
      <c r="D800" s="1"/>
      <c r="E800" s="1"/>
      <c r="F800" s="1"/>
      <c r="G800" s="1"/>
      <c r="H800" s="1"/>
      <c r="M800" s="1"/>
    </row>
    <row r="801">
      <c r="B801" s="1"/>
      <c r="C801" s="1"/>
      <c r="D801" s="1"/>
      <c r="E801" s="1"/>
      <c r="F801" s="1"/>
      <c r="G801" s="1"/>
      <c r="H801" s="1"/>
      <c r="M801" s="1"/>
    </row>
    <row r="802">
      <c r="B802" s="1"/>
      <c r="C802" s="1"/>
      <c r="D802" s="1"/>
      <c r="E802" s="1"/>
      <c r="F802" s="1"/>
      <c r="G802" s="1"/>
      <c r="H802" s="1"/>
      <c r="M802" s="1"/>
    </row>
    <row r="803">
      <c r="B803" s="1"/>
      <c r="C803" s="1"/>
      <c r="D803" s="1"/>
      <c r="E803" s="1"/>
      <c r="F803" s="1"/>
      <c r="G803" s="1"/>
      <c r="H803" s="1"/>
      <c r="M803" s="1"/>
    </row>
    <row r="804">
      <c r="B804" s="1"/>
      <c r="C804" s="1"/>
      <c r="D804" s="1"/>
      <c r="E804" s="1"/>
      <c r="F804" s="1"/>
      <c r="G804" s="1"/>
      <c r="H804" s="1"/>
      <c r="M804" s="1"/>
    </row>
    <row r="805">
      <c r="B805" s="1"/>
      <c r="C805" s="1"/>
      <c r="D805" s="1"/>
      <c r="E805" s="1"/>
      <c r="F805" s="1"/>
      <c r="G805" s="1"/>
      <c r="H805" s="1"/>
      <c r="M805" s="1"/>
    </row>
    <row r="806">
      <c r="B806" s="1"/>
      <c r="C806" s="1"/>
      <c r="D806" s="1"/>
      <c r="E806" s="1"/>
      <c r="F806" s="1"/>
      <c r="G806" s="1"/>
      <c r="H806" s="1"/>
      <c r="M806" s="1"/>
    </row>
    <row r="807">
      <c r="B807" s="1"/>
      <c r="C807" s="1"/>
      <c r="D807" s="1"/>
      <c r="E807" s="1"/>
      <c r="F807" s="1"/>
      <c r="G807" s="1"/>
      <c r="H807" s="1"/>
      <c r="M807" s="1"/>
    </row>
    <row r="808">
      <c r="B808" s="1"/>
      <c r="C808" s="1"/>
      <c r="D808" s="1"/>
      <c r="E808" s="1"/>
      <c r="F808" s="1"/>
      <c r="G808" s="1"/>
      <c r="H808" s="1"/>
      <c r="M808" s="1"/>
    </row>
    <row r="809">
      <c r="B809" s="1"/>
      <c r="C809" s="1"/>
      <c r="D809" s="1"/>
      <c r="E809" s="1"/>
      <c r="F809" s="1"/>
      <c r="G809" s="1"/>
      <c r="H809" s="1"/>
      <c r="M809" s="1"/>
    </row>
    <row r="810">
      <c r="B810" s="1"/>
      <c r="C810" s="1"/>
      <c r="D810" s="1"/>
      <c r="E810" s="1"/>
      <c r="F810" s="1"/>
      <c r="G810" s="1"/>
      <c r="H810" s="1"/>
      <c r="M810" s="1"/>
    </row>
    <row r="811">
      <c r="B811" s="1"/>
      <c r="C811" s="1"/>
      <c r="D811" s="1"/>
      <c r="E811" s="1"/>
      <c r="F811" s="1"/>
      <c r="G811" s="1"/>
      <c r="H811" s="1"/>
      <c r="M811" s="1"/>
    </row>
    <row r="812">
      <c r="B812" s="1"/>
      <c r="C812" s="1"/>
      <c r="D812" s="1"/>
      <c r="E812" s="1"/>
      <c r="F812" s="1"/>
      <c r="G812" s="1"/>
      <c r="H812" s="1"/>
      <c r="M812" s="1"/>
    </row>
    <row r="813">
      <c r="B813" s="1"/>
      <c r="C813" s="1"/>
      <c r="D813" s="1"/>
      <c r="E813" s="1"/>
      <c r="F813" s="1"/>
      <c r="G813" s="1"/>
      <c r="H813" s="1"/>
      <c r="M813" s="1"/>
    </row>
    <row r="814">
      <c r="B814" s="1"/>
      <c r="C814" s="1"/>
      <c r="D814" s="1"/>
      <c r="E814" s="1"/>
      <c r="F814" s="1"/>
      <c r="G814" s="1"/>
      <c r="H814" s="1"/>
      <c r="M814" s="1"/>
    </row>
    <row r="815">
      <c r="B815" s="1"/>
      <c r="C815" s="1"/>
      <c r="D815" s="1"/>
      <c r="E815" s="1"/>
      <c r="F815" s="1"/>
      <c r="G815" s="1"/>
      <c r="H815" s="1"/>
      <c r="M815" s="1"/>
    </row>
    <row r="816">
      <c r="B816" s="1"/>
      <c r="C816" s="1"/>
      <c r="D816" s="1"/>
      <c r="E816" s="1"/>
      <c r="F816" s="1"/>
      <c r="G816" s="1"/>
      <c r="H816" s="1"/>
      <c r="M816" s="1"/>
    </row>
    <row r="817">
      <c r="B817" s="1"/>
      <c r="C817" s="1"/>
      <c r="D817" s="1"/>
      <c r="E817" s="1"/>
      <c r="F817" s="1"/>
      <c r="G817" s="1"/>
      <c r="H817" s="1"/>
      <c r="M817" s="1"/>
    </row>
    <row r="818">
      <c r="B818" s="1"/>
      <c r="C818" s="1"/>
      <c r="D818" s="1"/>
      <c r="E818" s="1"/>
      <c r="F818" s="1"/>
      <c r="G818" s="1"/>
      <c r="H818" s="1"/>
      <c r="M818" s="1"/>
    </row>
    <row r="819">
      <c r="B819" s="1"/>
      <c r="C819" s="1"/>
      <c r="D819" s="1"/>
      <c r="E819" s="1"/>
      <c r="F819" s="1"/>
      <c r="G819" s="1"/>
      <c r="H819" s="1"/>
      <c r="M819" s="1"/>
    </row>
    <row r="820">
      <c r="B820" s="1"/>
      <c r="C820" s="1"/>
      <c r="D820" s="1"/>
      <c r="E820" s="1"/>
      <c r="F820" s="1"/>
      <c r="G820" s="1"/>
      <c r="H820" s="1"/>
      <c r="M820" s="1"/>
    </row>
    <row r="821">
      <c r="B821" s="1"/>
      <c r="C821" s="1"/>
      <c r="D821" s="1"/>
      <c r="E821" s="1"/>
      <c r="F821" s="1"/>
      <c r="G821" s="1"/>
      <c r="H821" s="1"/>
      <c r="M821" s="1"/>
    </row>
    <row r="822">
      <c r="B822" s="1"/>
      <c r="C822" s="1"/>
      <c r="D822" s="1"/>
      <c r="E822" s="1"/>
      <c r="F822" s="1"/>
      <c r="G822" s="1"/>
      <c r="H822" s="1"/>
      <c r="M822" s="1"/>
    </row>
    <row r="823">
      <c r="B823" s="1"/>
      <c r="C823" s="1"/>
      <c r="D823" s="1"/>
      <c r="E823" s="1"/>
      <c r="F823" s="1"/>
      <c r="G823" s="1"/>
      <c r="H823" s="1"/>
      <c r="M823" s="1"/>
    </row>
    <row r="824">
      <c r="B824" s="1"/>
      <c r="C824" s="1"/>
      <c r="D824" s="1"/>
      <c r="E824" s="1"/>
      <c r="F824" s="1"/>
      <c r="G824" s="1"/>
      <c r="H824" s="1"/>
      <c r="M824" s="1"/>
    </row>
    <row r="825">
      <c r="B825" s="1"/>
      <c r="C825" s="1"/>
      <c r="D825" s="1"/>
      <c r="E825" s="1"/>
      <c r="F825" s="1"/>
      <c r="G825" s="1"/>
      <c r="H825" s="1"/>
      <c r="M825" s="1"/>
    </row>
    <row r="826">
      <c r="B826" s="1"/>
      <c r="C826" s="1"/>
      <c r="D826" s="1"/>
      <c r="E826" s="1"/>
      <c r="F826" s="1"/>
      <c r="G826" s="1"/>
      <c r="H826" s="1"/>
      <c r="M826" s="1"/>
    </row>
    <row r="827">
      <c r="B827" s="1"/>
      <c r="C827" s="1"/>
      <c r="D827" s="1"/>
      <c r="E827" s="1"/>
      <c r="F827" s="1"/>
      <c r="G827" s="1"/>
      <c r="H827" s="1"/>
      <c r="M827" s="1"/>
    </row>
    <row r="828">
      <c r="B828" s="1"/>
      <c r="C828" s="1"/>
      <c r="D828" s="1"/>
      <c r="E828" s="1"/>
      <c r="F828" s="1"/>
      <c r="G828" s="1"/>
      <c r="H828" s="1"/>
      <c r="M828" s="1"/>
    </row>
    <row r="829">
      <c r="B829" s="1"/>
      <c r="C829" s="1"/>
      <c r="D829" s="1"/>
      <c r="E829" s="1"/>
      <c r="F829" s="1"/>
      <c r="G829" s="1"/>
      <c r="H829" s="1"/>
      <c r="M829" s="1"/>
    </row>
    <row r="830">
      <c r="B830" s="1"/>
      <c r="C830" s="1"/>
      <c r="D830" s="1"/>
      <c r="E830" s="1"/>
      <c r="F830" s="1"/>
      <c r="G830" s="1"/>
      <c r="H830" s="1"/>
      <c r="M830" s="1"/>
    </row>
    <row r="831">
      <c r="B831" s="1"/>
      <c r="C831" s="1"/>
      <c r="D831" s="1"/>
      <c r="E831" s="1"/>
      <c r="F831" s="1"/>
      <c r="G831" s="1"/>
      <c r="H831" s="1"/>
      <c r="M831" s="1"/>
    </row>
    <row r="832">
      <c r="B832" s="1"/>
      <c r="C832" s="1"/>
      <c r="D832" s="1"/>
      <c r="E832" s="1"/>
      <c r="F832" s="1"/>
      <c r="G832" s="1"/>
      <c r="H832" s="1"/>
      <c r="M832" s="1"/>
    </row>
    <row r="833">
      <c r="B833" s="1"/>
      <c r="C833" s="1"/>
      <c r="D833" s="1"/>
      <c r="E833" s="1"/>
      <c r="F833" s="1"/>
      <c r="G833" s="1"/>
      <c r="H833" s="1"/>
      <c r="M833" s="1"/>
    </row>
    <row r="834">
      <c r="B834" s="1"/>
      <c r="C834" s="1"/>
      <c r="D834" s="1"/>
      <c r="E834" s="1"/>
      <c r="F834" s="1"/>
      <c r="G834" s="1"/>
      <c r="H834" s="1"/>
      <c r="M834" s="1"/>
    </row>
    <row r="835">
      <c r="B835" s="1"/>
      <c r="C835" s="1"/>
      <c r="D835" s="1"/>
      <c r="E835" s="1"/>
      <c r="F835" s="1"/>
      <c r="G835" s="1"/>
      <c r="H835" s="1"/>
      <c r="M835" s="1"/>
    </row>
    <row r="836">
      <c r="B836" s="1"/>
      <c r="C836" s="1"/>
      <c r="D836" s="1"/>
      <c r="E836" s="1"/>
      <c r="F836" s="1"/>
      <c r="G836" s="1"/>
      <c r="H836" s="1"/>
      <c r="M836" s="1"/>
    </row>
    <row r="837">
      <c r="B837" s="1"/>
      <c r="C837" s="1"/>
      <c r="D837" s="1"/>
      <c r="E837" s="1"/>
      <c r="F837" s="1"/>
      <c r="G837" s="1"/>
      <c r="H837" s="1"/>
      <c r="M837" s="1"/>
    </row>
    <row r="838">
      <c r="B838" s="1"/>
      <c r="C838" s="1"/>
      <c r="D838" s="1"/>
      <c r="E838" s="1"/>
      <c r="F838" s="1"/>
      <c r="G838" s="1"/>
      <c r="H838" s="1"/>
      <c r="M838" s="1"/>
    </row>
    <row r="839">
      <c r="B839" s="1"/>
      <c r="C839" s="1"/>
      <c r="D839" s="1"/>
      <c r="E839" s="1"/>
      <c r="F839" s="1"/>
      <c r="G839" s="1"/>
      <c r="H839" s="1"/>
      <c r="M839" s="1"/>
    </row>
    <row r="840">
      <c r="B840" s="1"/>
      <c r="C840" s="1"/>
      <c r="D840" s="1"/>
      <c r="E840" s="1"/>
      <c r="F840" s="1"/>
      <c r="G840" s="1"/>
      <c r="H840" s="1"/>
      <c r="M840" s="1"/>
    </row>
    <row r="841">
      <c r="B841" s="1"/>
      <c r="C841" s="1"/>
      <c r="D841" s="1"/>
      <c r="E841" s="1"/>
      <c r="F841" s="1"/>
      <c r="G841" s="1"/>
      <c r="H841" s="1"/>
      <c r="M841" s="1"/>
    </row>
    <row r="842">
      <c r="B842" s="1"/>
      <c r="C842" s="1"/>
      <c r="D842" s="1"/>
      <c r="E842" s="1"/>
      <c r="F842" s="1"/>
      <c r="G842" s="1"/>
      <c r="H842" s="1"/>
      <c r="M842" s="1"/>
    </row>
    <row r="843">
      <c r="B843" s="1"/>
      <c r="C843" s="1"/>
      <c r="D843" s="1"/>
      <c r="E843" s="1"/>
      <c r="F843" s="1"/>
      <c r="G843" s="1"/>
      <c r="H843" s="1"/>
      <c r="M843" s="1"/>
    </row>
    <row r="844">
      <c r="B844" s="1"/>
      <c r="C844" s="1"/>
      <c r="D844" s="1"/>
      <c r="E844" s="1"/>
      <c r="F844" s="1"/>
      <c r="G844" s="1"/>
      <c r="H844" s="1"/>
      <c r="M844" s="1"/>
    </row>
    <row r="845">
      <c r="B845" s="1"/>
      <c r="C845" s="1"/>
      <c r="D845" s="1"/>
      <c r="E845" s="1"/>
      <c r="F845" s="1"/>
      <c r="G845" s="1"/>
      <c r="H845" s="1"/>
      <c r="M845" s="1"/>
    </row>
    <row r="846">
      <c r="B846" s="1"/>
      <c r="C846" s="1"/>
      <c r="D846" s="1"/>
      <c r="E846" s="1"/>
      <c r="F846" s="1"/>
      <c r="G846" s="1"/>
      <c r="H846" s="1"/>
      <c r="M846" s="1"/>
    </row>
    <row r="847">
      <c r="B847" s="1"/>
      <c r="C847" s="1"/>
      <c r="D847" s="1"/>
      <c r="E847" s="1"/>
      <c r="F847" s="1"/>
      <c r="G847" s="1"/>
      <c r="H847" s="1"/>
      <c r="M847" s="1"/>
    </row>
    <row r="848">
      <c r="B848" s="1"/>
      <c r="C848" s="1"/>
      <c r="D848" s="1"/>
      <c r="E848" s="1"/>
      <c r="F848" s="1"/>
      <c r="G848" s="1"/>
      <c r="H848" s="1"/>
      <c r="M848" s="1"/>
    </row>
    <row r="849">
      <c r="B849" s="1"/>
      <c r="C849" s="1"/>
      <c r="D849" s="1"/>
      <c r="E849" s="1"/>
      <c r="F849" s="1"/>
      <c r="G849" s="1"/>
      <c r="H849" s="1"/>
      <c r="M849" s="1"/>
    </row>
    <row r="850">
      <c r="B850" s="1"/>
      <c r="C850" s="1"/>
      <c r="D850" s="1"/>
      <c r="E850" s="1"/>
      <c r="F850" s="1"/>
      <c r="G850" s="1"/>
      <c r="H850" s="1"/>
      <c r="M850" s="1"/>
    </row>
    <row r="851">
      <c r="B851" s="1"/>
      <c r="C851" s="1"/>
      <c r="D851" s="1"/>
      <c r="E851" s="1"/>
      <c r="F851" s="1"/>
      <c r="G851" s="1"/>
      <c r="H851" s="1"/>
      <c r="M851" s="1"/>
    </row>
    <row r="852">
      <c r="B852" s="1"/>
      <c r="C852" s="1"/>
      <c r="D852" s="1"/>
      <c r="E852" s="1"/>
      <c r="F852" s="1"/>
      <c r="G852" s="1"/>
      <c r="H852" s="1"/>
      <c r="M852" s="1"/>
    </row>
    <row r="853">
      <c r="B853" s="1"/>
      <c r="C853" s="1"/>
      <c r="D853" s="1"/>
      <c r="E853" s="1"/>
      <c r="F853" s="1"/>
      <c r="G853" s="1"/>
      <c r="H853" s="1"/>
      <c r="M853" s="1"/>
    </row>
    <row r="854">
      <c r="B854" s="1"/>
      <c r="C854" s="1"/>
      <c r="D854" s="1"/>
      <c r="E854" s="1"/>
      <c r="F854" s="1"/>
      <c r="G854" s="1"/>
      <c r="H854" s="1"/>
      <c r="M854" s="1"/>
    </row>
    <row r="855">
      <c r="B855" s="1"/>
      <c r="C855" s="1"/>
      <c r="D855" s="1"/>
      <c r="E855" s="1"/>
      <c r="F855" s="1"/>
      <c r="G855" s="1"/>
      <c r="H855" s="1"/>
      <c r="M855" s="1"/>
    </row>
    <row r="856">
      <c r="B856" s="1"/>
      <c r="C856" s="1"/>
      <c r="D856" s="1"/>
      <c r="E856" s="1"/>
      <c r="F856" s="1"/>
      <c r="G856" s="1"/>
      <c r="H856" s="1"/>
      <c r="M856" s="1"/>
    </row>
    <row r="857">
      <c r="B857" s="1"/>
      <c r="C857" s="1"/>
      <c r="D857" s="1"/>
      <c r="E857" s="1"/>
      <c r="F857" s="1"/>
      <c r="G857" s="1"/>
      <c r="H857" s="1"/>
      <c r="M857" s="1"/>
    </row>
    <row r="858">
      <c r="B858" s="1"/>
      <c r="C858" s="1"/>
      <c r="D858" s="1"/>
      <c r="E858" s="1"/>
      <c r="F858" s="1"/>
      <c r="G858" s="1"/>
      <c r="H858" s="1"/>
      <c r="M858" s="1"/>
    </row>
    <row r="859">
      <c r="B859" s="1"/>
      <c r="C859" s="1"/>
      <c r="D859" s="1"/>
      <c r="E859" s="1"/>
      <c r="F859" s="1"/>
      <c r="G859" s="1"/>
      <c r="H859" s="1"/>
      <c r="M859" s="1"/>
    </row>
    <row r="860">
      <c r="B860" s="1"/>
      <c r="C860" s="1"/>
      <c r="D860" s="1"/>
      <c r="E860" s="1"/>
      <c r="F860" s="1"/>
      <c r="G860" s="1"/>
      <c r="H860" s="1"/>
      <c r="M860" s="1"/>
    </row>
    <row r="861">
      <c r="B861" s="1"/>
      <c r="C861" s="1"/>
      <c r="D861" s="1"/>
      <c r="E861" s="1"/>
      <c r="F861" s="1"/>
      <c r="G861" s="1"/>
      <c r="H861" s="1"/>
      <c r="M861" s="1"/>
    </row>
    <row r="862">
      <c r="B862" s="1"/>
      <c r="C862" s="1"/>
      <c r="D862" s="1"/>
      <c r="E862" s="1"/>
      <c r="F862" s="1"/>
      <c r="G862" s="1"/>
      <c r="H862" s="1"/>
      <c r="M862" s="1"/>
    </row>
    <row r="863">
      <c r="B863" s="1"/>
      <c r="C863" s="1"/>
      <c r="D863" s="1"/>
      <c r="E863" s="1"/>
      <c r="F863" s="1"/>
      <c r="G863" s="1"/>
      <c r="H863" s="1"/>
      <c r="M863" s="1"/>
    </row>
    <row r="864">
      <c r="B864" s="1"/>
      <c r="C864" s="1"/>
      <c r="D864" s="1"/>
      <c r="E864" s="1"/>
      <c r="F864" s="1"/>
      <c r="G864" s="1"/>
      <c r="H864" s="1"/>
      <c r="M864" s="1"/>
    </row>
    <row r="865">
      <c r="B865" s="1"/>
      <c r="C865" s="1"/>
      <c r="D865" s="1"/>
      <c r="E865" s="1"/>
      <c r="F865" s="1"/>
      <c r="G865" s="1"/>
      <c r="H865" s="1"/>
      <c r="M865" s="1"/>
    </row>
    <row r="866">
      <c r="B866" s="1"/>
      <c r="C866" s="1"/>
      <c r="D866" s="1"/>
      <c r="E866" s="1"/>
      <c r="F866" s="1"/>
      <c r="G866" s="1"/>
      <c r="H866" s="1"/>
      <c r="M866" s="1"/>
    </row>
    <row r="867">
      <c r="B867" s="1"/>
      <c r="C867" s="1"/>
      <c r="D867" s="1"/>
      <c r="E867" s="1"/>
      <c r="F867" s="1"/>
      <c r="G867" s="1"/>
      <c r="H867" s="1"/>
      <c r="M867" s="1"/>
    </row>
    <row r="868">
      <c r="B868" s="1"/>
      <c r="C868" s="1"/>
      <c r="D868" s="1"/>
      <c r="E868" s="1"/>
      <c r="F868" s="1"/>
      <c r="G868" s="1"/>
      <c r="H868" s="1"/>
      <c r="M868" s="1"/>
    </row>
    <row r="869">
      <c r="B869" s="1"/>
      <c r="C869" s="1"/>
      <c r="D869" s="1"/>
      <c r="E869" s="1"/>
      <c r="F869" s="1"/>
      <c r="G869" s="1"/>
      <c r="H869" s="1"/>
      <c r="M869" s="1"/>
    </row>
    <row r="870">
      <c r="B870" s="1"/>
      <c r="C870" s="1"/>
      <c r="D870" s="1"/>
      <c r="E870" s="1"/>
      <c r="F870" s="1"/>
      <c r="G870" s="1"/>
      <c r="H870" s="1"/>
      <c r="M870" s="1"/>
    </row>
    <row r="871">
      <c r="B871" s="1"/>
      <c r="C871" s="1"/>
      <c r="D871" s="1"/>
      <c r="E871" s="1"/>
      <c r="F871" s="1"/>
      <c r="G871" s="1"/>
      <c r="H871" s="1"/>
      <c r="M871" s="1"/>
    </row>
    <row r="872">
      <c r="B872" s="1"/>
      <c r="C872" s="1"/>
      <c r="D872" s="1"/>
      <c r="E872" s="1"/>
      <c r="F872" s="1"/>
      <c r="G872" s="1"/>
      <c r="H872" s="1"/>
      <c r="M872" s="1"/>
    </row>
    <row r="873">
      <c r="B873" s="1"/>
      <c r="C873" s="1"/>
      <c r="D873" s="1"/>
      <c r="E873" s="1"/>
      <c r="F873" s="1"/>
      <c r="G873" s="1"/>
      <c r="H873" s="1"/>
      <c r="M873" s="1"/>
    </row>
    <row r="874">
      <c r="B874" s="1"/>
      <c r="C874" s="1"/>
      <c r="D874" s="1"/>
      <c r="E874" s="1"/>
      <c r="F874" s="1"/>
      <c r="G874" s="1"/>
      <c r="H874" s="1"/>
      <c r="M874" s="1"/>
    </row>
    <row r="875">
      <c r="B875" s="1"/>
      <c r="C875" s="1"/>
      <c r="D875" s="1"/>
      <c r="E875" s="1"/>
      <c r="F875" s="1"/>
      <c r="G875" s="1"/>
      <c r="H875" s="1"/>
      <c r="M875" s="1"/>
    </row>
    <row r="876">
      <c r="B876" s="1"/>
      <c r="C876" s="1"/>
      <c r="D876" s="1"/>
      <c r="E876" s="1"/>
      <c r="F876" s="1"/>
      <c r="G876" s="1"/>
      <c r="H876" s="1"/>
      <c r="M876" s="1"/>
    </row>
    <row r="877">
      <c r="B877" s="1"/>
      <c r="C877" s="1"/>
      <c r="D877" s="1"/>
      <c r="E877" s="1"/>
      <c r="F877" s="1"/>
      <c r="G877" s="1"/>
      <c r="H877" s="1"/>
      <c r="M877" s="1"/>
    </row>
    <row r="878">
      <c r="B878" s="1"/>
      <c r="C878" s="1"/>
      <c r="D878" s="1"/>
      <c r="E878" s="1"/>
      <c r="F878" s="1"/>
      <c r="G878" s="1"/>
      <c r="H878" s="1"/>
      <c r="M878" s="1"/>
    </row>
    <row r="879">
      <c r="B879" s="1"/>
      <c r="C879" s="1"/>
      <c r="D879" s="1"/>
      <c r="E879" s="1"/>
      <c r="F879" s="1"/>
      <c r="G879" s="1"/>
      <c r="H879" s="1"/>
      <c r="M879" s="1"/>
    </row>
    <row r="880">
      <c r="B880" s="1"/>
      <c r="C880" s="1"/>
      <c r="D880" s="1"/>
      <c r="E880" s="1"/>
      <c r="F880" s="1"/>
      <c r="G880" s="1"/>
      <c r="H880" s="1"/>
      <c r="M880" s="1"/>
    </row>
    <row r="881">
      <c r="B881" s="1"/>
      <c r="C881" s="1"/>
      <c r="D881" s="1"/>
      <c r="E881" s="1"/>
      <c r="F881" s="1"/>
      <c r="G881" s="1"/>
      <c r="H881" s="1"/>
      <c r="M881" s="1"/>
    </row>
    <row r="882">
      <c r="B882" s="1"/>
      <c r="C882" s="1"/>
      <c r="D882" s="1"/>
      <c r="E882" s="1"/>
      <c r="F882" s="1"/>
      <c r="G882" s="1"/>
      <c r="H882" s="1"/>
      <c r="M882" s="1"/>
    </row>
    <row r="883">
      <c r="B883" s="1"/>
      <c r="C883" s="1"/>
      <c r="D883" s="1"/>
      <c r="E883" s="1"/>
      <c r="F883" s="1"/>
      <c r="G883" s="1"/>
      <c r="H883" s="1"/>
      <c r="M883" s="1"/>
    </row>
    <row r="884">
      <c r="B884" s="1"/>
      <c r="C884" s="1"/>
      <c r="D884" s="1"/>
      <c r="E884" s="1"/>
      <c r="F884" s="1"/>
      <c r="G884" s="1"/>
      <c r="H884" s="1"/>
      <c r="M884" s="1"/>
    </row>
    <row r="885">
      <c r="B885" s="1"/>
      <c r="C885" s="1"/>
      <c r="D885" s="1"/>
      <c r="E885" s="1"/>
      <c r="F885" s="1"/>
      <c r="G885" s="1"/>
      <c r="H885" s="1"/>
      <c r="M885" s="1"/>
    </row>
    <row r="886">
      <c r="B886" s="1"/>
      <c r="C886" s="1"/>
      <c r="D886" s="1"/>
      <c r="E886" s="1"/>
      <c r="F886" s="1"/>
      <c r="G886" s="1"/>
      <c r="H886" s="1"/>
      <c r="M886" s="1"/>
    </row>
    <row r="887">
      <c r="B887" s="1"/>
      <c r="C887" s="1"/>
      <c r="D887" s="1"/>
      <c r="E887" s="1"/>
      <c r="F887" s="1"/>
      <c r="G887" s="1"/>
      <c r="H887" s="1"/>
      <c r="M887" s="1"/>
    </row>
    <row r="888">
      <c r="B888" s="1"/>
      <c r="C888" s="1"/>
      <c r="D888" s="1"/>
      <c r="E888" s="1"/>
      <c r="F888" s="1"/>
      <c r="G888" s="1"/>
      <c r="H888" s="1"/>
      <c r="M888" s="1"/>
    </row>
    <row r="889">
      <c r="B889" s="1"/>
      <c r="C889" s="1"/>
      <c r="D889" s="1"/>
      <c r="E889" s="1"/>
      <c r="F889" s="1"/>
      <c r="G889" s="1"/>
      <c r="H889" s="1"/>
      <c r="M889" s="1"/>
    </row>
    <row r="890">
      <c r="B890" s="1"/>
      <c r="C890" s="1"/>
      <c r="D890" s="1"/>
      <c r="E890" s="1"/>
      <c r="F890" s="1"/>
      <c r="G890" s="1"/>
      <c r="H890" s="1"/>
      <c r="M890" s="1"/>
    </row>
    <row r="891">
      <c r="B891" s="1"/>
      <c r="C891" s="1"/>
      <c r="D891" s="1"/>
      <c r="E891" s="1"/>
      <c r="F891" s="1"/>
      <c r="G891" s="1"/>
      <c r="H891" s="1"/>
      <c r="M891" s="1"/>
    </row>
    <row r="892">
      <c r="B892" s="1"/>
      <c r="C892" s="1"/>
      <c r="D892" s="1"/>
      <c r="E892" s="1"/>
      <c r="F892" s="1"/>
      <c r="G892" s="1"/>
      <c r="H892" s="1"/>
      <c r="M892" s="1"/>
    </row>
    <row r="893">
      <c r="B893" s="1"/>
      <c r="C893" s="1"/>
      <c r="D893" s="1"/>
      <c r="E893" s="1"/>
      <c r="F893" s="1"/>
      <c r="G893" s="1"/>
      <c r="H893" s="1"/>
      <c r="M893" s="1"/>
    </row>
    <row r="894">
      <c r="B894" s="1"/>
      <c r="C894" s="1"/>
      <c r="D894" s="1"/>
      <c r="E894" s="1"/>
      <c r="F894" s="1"/>
      <c r="G894" s="1"/>
      <c r="H894" s="1"/>
      <c r="M894" s="1"/>
    </row>
    <row r="895">
      <c r="B895" s="1"/>
      <c r="C895" s="1"/>
      <c r="D895" s="1"/>
      <c r="E895" s="1"/>
      <c r="F895" s="1"/>
      <c r="G895" s="1"/>
      <c r="H895" s="1"/>
      <c r="M895" s="1"/>
    </row>
    <row r="896">
      <c r="B896" s="1"/>
      <c r="C896" s="1"/>
      <c r="D896" s="1"/>
      <c r="E896" s="1"/>
      <c r="F896" s="1"/>
      <c r="G896" s="1"/>
      <c r="H896" s="1"/>
      <c r="M896" s="1"/>
    </row>
    <row r="897">
      <c r="B897" s="1"/>
      <c r="C897" s="1"/>
      <c r="D897" s="1"/>
      <c r="E897" s="1"/>
      <c r="F897" s="1"/>
      <c r="G897" s="1"/>
      <c r="H897" s="1"/>
      <c r="M897" s="1"/>
    </row>
    <row r="898">
      <c r="B898" s="1"/>
      <c r="C898" s="1"/>
      <c r="D898" s="1"/>
      <c r="E898" s="1"/>
      <c r="F898" s="1"/>
      <c r="G898" s="1"/>
      <c r="H898" s="1"/>
      <c r="M898" s="1"/>
    </row>
    <row r="899">
      <c r="B899" s="1"/>
      <c r="C899" s="1"/>
      <c r="D899" s="1"/>
      <c r="E899" s="1"/>
      <c r="F899" s="1"/>
      <c r="G899" s="1"/>
      <c r="H899" s="1"/>
      <c r="M899" s="1"/>
    </row>
    <row r="900">
      <c r="B900" s="1"/>
      <c r="C900" s="1"/>
      <c r="D900" s="1"/>
      <c r="E900" s="1"/>
      <c r="F900" s="1"/>
      <c r="G900" s="1"/>
      <c r="H900" s="1"/>
      <c r="M900" s="1"/>
    </row>
    <row r="901">
      <c r="B901" s="1"/>
      <c r="C901" s="1"/>
      <c r="D901" s="1"/>
      <c r="E901" s="1"/>
      <c r="F901" s="1"/>
      <c r="G901" s="1"/>
      <c r="H901" s="1"/>
      <c r="M901" s="1"/>
    </row>
    <row r="902">
      <c r="B902" s="1"/>
      <c r="C902" s="1"/>
      <c r="D902" s="1"/>
      <c r="E902" s="1"/>
      <c r="F902" s="1"/>
      <c r="G902" s="1"/>
      <c r="H902" s="1"/>
      <c r="M902" s="1"/>
    </row>
    <row r="903">
      <c r="B903" s="1"/>
      <c r="C903" s="1"/>
      <c r="D903" s="1"/>
      <c r="E903" s="1"/>
      <c r="F903" s="1"/>
      <c r="G903" s="1"/>
      <c r="H903" s="1"/>
      <c r="M903" s="1"/>
    </row>
    <row r="904">
      <c r="B904" s="1"/>
      <c r="C904" s="1"/>
      <c r="D904" s="1"/>
      <c r="E904" s="1"/>
      <c r="F904" s="1"/>
      <c r="G904" s="1"/>
      <c r="H904" s="1"/>
      <c r="M904" s="1"/>
    </row>
    <row r="905">
      <c r="B905" s="1"/>
      <c r="C905" s="1"/>
      <c r="D905" s="1"/>
      <c r="E905" s="1"/>
      <c r="F905" s="1"/>
      <c r="G905" s="1"/>
      <c r="H905" s="1"/>
      <c r="M905" s="1"/>
    </row>
    <row r="906">
      <c r="B906" s="1"/>
      <c r="C906" s="1"/>
      <c r="D906" s="1"/>
      <c r="E906" s="1"/>
      <c r="F906" s="1"/>
      <c r="G906" s="1"/>
      <c r="H906" s="1"/>
      <c r="M906" s="1"/>
    </row>
    <row r="907">
      <c r="B907" s="1"/>
      <c r="C907" s="1"/>
      <c r="D907" s="1"/>
      <c r="E907" s="1"/>
      <c r="F907" s="1"/>
      <c r="G907" s="1"/>
      <c r="H907" s="1"/>
      <c r="M907" s="1"/>
    </row>
    <row r="908">
      <c r="B908" s="1"/>
      <c r="C908" s="1"/>
      <c r="D908" s="1"/>
      <c r="E908" s="1"/>
      <c r="F908" s="1"/>
      <c r="G908" s="1"/>
      <c r="H908" s="1"/>
      <c r="M908" s="1"/>
    </row>
    <row r="909">
      <c r="B909" s="1"/>
      <c r="C909" s="1"/>
      <c r="D909" s="1"/>
      <c r="E909" s="1"/>
      <c r="F909" s="1"/>
      <c r="G909" s="1"/>
      <c r="H909" s="1"/>
      <c r="M909" s="1"/>
    </row>
    <row r="910">
      <c r="B910" s="1"/>
      <c r="C910" s="1"/>
      <c r="D910" s="1"/>
      <c r="E910" s="1"/>
      <c r="F910" s="1"/>
      <c r="G910" s="1"/>
      <c r="H910" s="1"/>
      <c r="M910" s="1"/>
    </row>
    <row r="911">
      <c r="B911" s="1"/>
      <c r="C911" s="1"/>
      <c r="D911" s="1"/>
      <c r="E911" s="1"/>
      <c r="F911" s="1"/>
      <c r="G911" s="1"/>
      <c r="H911" s="1"/>
      <c r="M911" s="1"/>
    </row>
    <row r="912">
      <c r="B912" s="1"/>
      <c r="C912" s="1"/>
      <c r="D912" s="1"/>
      <c r="E912" s="1"/>
      <c r="F912" s="1"/>
      <c r="G912" s="1"/>
      <c r="H912" s="1"/>
      <c r="M912" s="1"/>
    </row>
    <row r="913">
      <c r="B913" s="1"/>
      <c r="C913" s="1"/>
      <c r="D913" s="1"/>
      <c r="E913" s="1"/>
      <c r="F913" s="1"/>
      <c r="G913" s="1"/>
      <c r="H913" s="1"/>
      <c r="M913" s="1"/>
    </row>
    <row r="914">
      <c r="B914" s="1"/>
      <c r="C914" s="1"/>
      <c r="D914" s="1"/>
      <c r="E914" s="1"/>
      <c r="F914" s="1"/>
      <c r="G914" s="1"/>
      <c r="H914" s="1"/>
      <c r="M914" s="1"/>
    </row>
    <row r="915">
      <c r="B915" s="1"/>
      <c r="C915" s="1"/>
      <c r="D915" s="1"/>
      <c r="E915" s="1"/>
      <c r="F915" s="1"/>
      <c r="G915" s="1"/>
      <c r="H915" s="1"/>
      <c r="M915" s="1"/>
    </row>
    <row r="916">
      <c r="B916" s="1"/>
      <c r="C916" s="1"/>
      <c r="D916" s="1"/>
      <c r="E916" s="1"/>
      <c r="F916" s="1"/>
      <c r="G916" s="1"/>
      <c r="H916" s="1"/>
      <c r="M916" s="1"/>
    </row>
    <row r="917">
      <c r="B917" s="1"/>
      <c r="C917" s="1"/>
      <c r="D917" s="1"/>
      <c r="E917" s="1"/>
      <c r="F917" s="1"/>
      <c r="G917" s="1"/>
      <c r="H917" s="1"/>
      <c r="M917" s="1"/>
    </row>
    <row r="918">
      <c r="B918" s="1"/>
      <c r="C918" s="1"/>
      <c r="D918" s="1"/>
      <c r="E918" s="1"/>
      <c r="F918" s="1"/>
      <c r="G918" s="1"/>
      <c r="H918" s="1"/>
      <c r="M918" s="1"/>
    </row>
    <row r="919">
      <c r="B919" s="1"/>
      <c r="C919" s="1"/>
      <c r="D919" s="1"/>
      <c r="E919" s="1"/>
      <c r="F919" s="1"/>
      <c r="G919" s="1"/>
      <c r="H919" s="1"/>
      <c r="M919" s="1"/>
    </row>
    <row r="920">
      <c r="B920" s="1"/>
      <c r="C920" s="1"/>
      <c r="D920" s="1"/>
      <c r="E920" s="1"/>
      <c r="F920" s="1"/>
      <c r="G920" s="1"/>
      <c r="H920" s="1"/>
      <c r="M920" s="1"/>
    </row>
    <row r="921">
      <c r="B921" s="1"/>
      <c r="C921" s="1"/>
      <c r="D921" s="1"/>
      <c r="E921" s="1"/>
      <c r="F921" s="1"/>
      <c r="G921" s="1"/>
      <c r="H921" s="1"/>
      <c r="M921" s="1"/>
    </row>
    <row r="922">
      <c r="B922" s="1"/>
      <c r="C922" s="1"/>
      <c r="D922" s="1"/>
      <c r="E922" s="1"/>
      <c r="F922" s="1"/>
      <c r="G922" s="1"/>
      <c r="H922" s="1"/>
      <c r="M922" s="1"/>
    </row>
    <row r="923">
      <c r="B923" s="1"/>
      <c r="C923" s="1"/>
      <c r="D923" s="1"/>
      <c r="E923" s="1"/>
      <c r="F923" s="1"/>
      <c r="G923" s="1"/>
      <c r="H923" s="1"/>
      <c r="M923" s="1"/>
    </row>
    <row r="924">
      <c r="B924" s="1"/>
      <c r="C924" s="1"/>
      <c r="D924" s="1"/>
      <c r="E924" s="1"/>
      <c r="F924" s="1"/>
      <c r="G924" s="1"/>
      <c r="H924" s="1"/>
      <c r="M924" s="1"/>
    </row>
    <row r="925">
      <c r="B925" s="1"/>
      <c r="C925" s="1"/>
      <c r="D925" s="1"/>
      <c r="E925" s="1"/>
      <c r="F925" s="1"/>
      <c r="G925" s="1"/>
      <c r="H925" s="1"/>
      <c r="M925" s="1"/>
    </row>
    <row r="926">
      <c r="B926" s="1"/>
      <c r="C926" s="1"/>
      <c r="D926" s="1"/>
      <c r="E926" s="1"/>
      <c r="F926" s="1"/>
      <c r="G926" s="1"/>
      <c r="H926" s="1"/>
      <c r="M926" s="1"/>
    </row>
    <row r="927">
      <c r="B927" s="1"/>
      <c r="C927" s="1"/>
      <c r="D927" s="1"/>
      <c r="E927" s="1"/>
      <c r="F927" s="1"/>
      <c r="G927" s="1"/>
      <c r="H927" s="1"/>
      <c r="M927" s="1"/>
    </row>
    <row r="928">
      <c r="B928" s="1"/>
      <c r="C928" s="1"/>
      <c r="D928" s="1"/>
      <c r="E928" s="1"/>
      <c r="F928" s="1"/>
      <c r="G928" s="1"/>
      <c r="H928" s="1"/>
      <c r="M928" s="1"/>
    </row>
    <row r="929">
      <c r="B929" s="1"/>
      <c r="C929" s="1"/>
      <c r="D929" s="1"/>
      <c r="E929" s="1"/>
      <c r="F929" s="1"/>
      <c r="G929" s="1"/>
      <c r="H929" s="1"/>
      <c r="M929" s="1"/>
    </row>
    <row r="930">
      <c r="B930" s="1"/>
      <c r="C930" s="1"/>
      <c r="D930" s="1"/>
      <c r="E930" s="1"/>
      <c r="F930" s="1"/>
      <c r="G930" s="1"/>
      <c r="H930" s="1"/>
      <c r="M930" s="1"/>
    </row>
    <row r="931">
      <c r="B931" s="1"/>
      <c r="C931" s="1"/>
      <c r="D931" s="1"/>
      <c r="E931" s="1"/>
      <c r="F931" s="1"/>
      <c r="G931" s="1"/>
      <c r="H931" s="1"/>
      <c r="M931" s="1"/>
    </row>
    <row r="932">
      <c r="B932" s="1"/>
      <c r="C932" s="1"/>
      <c r="D932" s="1"/>
      <c r="E932" s="1"/>
      <c r="F932" s="1"/>
      <c r="G932" s="1"/>
      <c r="H932" s="1"/>
      <c r="M932" s="1"/>
    </row>
    <row r="933">
      <c r="B933" s="1"/>
      <c r="C933" s="1"/>
      <c r="D933" s="1"/>
      <c r="E933" s="1"/>
      <c r="F933" s="1"/>
      <c r="G933" s="1"/>
      <c r="H933" s="1"/>
      <c r="M933" s="1"/>
    </row>
    <row r="934">
      <c r="B934" s="1"/>
      <c r="C934" s="1"/>
      <c r="D934" s="1"/>
      <c r="E934" s="1"/>
      <c r="F934" s="1"/>
      <c r="G934" s="1"/>
      <c r="H934" s="1"/>
      <c r="M934" s="1"/>
    </row>
    <row r="935">
      <c r="B935" s="1"/>
      <c r="C935" s="1"/>
      <c r="D935" s="1"/>
      <c r="E935" s="1"/>
      <c r="F935" s="1"/>
      <c r="G935" s="1"/>
      <c r="H935" s="1"/>
      <c r="M935" s="1"/>
    </row>
    <row r="936">
      <c r="B936" s="1"/>
      <c r="C936" s="1"/>
      <c r="D936" s="1"/>
      <c r="E936" s="1"/>
      <c r="F936" s="1"/>
      <c r="G936" s="1"/>
      <c r="H936" s="1"/>
      <c r="M936" s="1"/>
    </row>
    <row r="937">
      <c r="B937" s="1"/>
      <c r="C937" s="1"/>
      <c r="D937" s="1"/>
      <c r="E937" s="1"/>
      <c r="F937" s="1"/>
      <c r="G937" s="1"/>
      <c r="H937" s="1"/>
      <c r="M937" s="1"/>
    </row>
    <row r="938">
      <c r="B938" s="1"/>
      <c r="C938" s="1"/>
      <c r="D938" s="1"/>
      <c r="E938" s="1"/>
      <c r="F938" s="1"/>
      <c r="G938" s="1"/>
      <c r="H938" s="1"/>
      <c r="M938" s="1"/>
    </row>
    <row r="939">
      <c r="B939" s="1"/>
      <c r="C939" s="1"/>
      <c r="D939" s="1"/>
      <c r="E939" s="1"/>
      <c r="F939" s="1"/>
      <c r="G939" s="1"/>
      <c r="H939" s="1"/>
      <c r="M939" s="1"/>
    </row>
    <row r="940">
      <c r="B940" s="1"/>
      <c r="C940" s="1"/>
      <c r="D940" s="1"/>
      <c r="E940" s="1"/>
      <c r="F940" s="1"/>
      <c r="G940" s="1"/>
      <c r="H940" s="1"/>
      <c r="M940" s="1"/>
    </row>
    <row r="941">
      <c r="B941" s="1"/>
      <c r="C941" s="1"/>
      <c r="D941" s="1"/>
      <c r="E941" s="1"/>
      <c r="F941" s="1"/>
      <c r="G941" s="1"/>
      <c r="H941" s="1"/>
      <c r="M941" s="1"/>
    </row>
    <row r="942">
      <c r="B942" s="1"/>
      <c r="C942" s="1"/>
      <c r="D942" s="1"/>
      <c r="E942" s="1"/>
      <c r="F942" s="1"/>
      <c r="G942" s="1"/>
      <c r="H942" s="1"/>
      <c r="M942" s="1"/>
    </row>
    <row r="943">
      <c r="B943" s="1"/>
      <c r="C943" s="1"/>
      <c r="D943" s="1"/>
      <c r="E943" s="1"/>
      <c r="F943" s="1"/>
      <c r="G943" s="1"/>
      <c r="H943" s="1"/>
      <c r="M943" s="1"/>
    </row>
    <row r="944">
      <c r="B944" s="1"/>
      <c r="C944" s="1"/>
      <c r="D944" s="1"/>
      <c r="E944" s="1"/>
      <c r="F944" s="1"/>
      <c r="G944" s="1"/>
      <c r="H944" s="1"/>
      <c r="M944" s="1"/>
    </row>
    <row r="945">
      <c r="B945" s="1"/>
      <c r="C945" s="1"/>
      <c r="D945" s="1"/>
      <c r="E945" s="1"/>
      <c r="F945" s="1"/>
      <c r="G945" s="1"/>
      <c r="H945" s="1"/>
      <c r="M945" s="1"/>
    </row>
    <row r="946">
      <c r="B946" s="1"/>
      <c r="C946" s="1"/>
      <c r="D946" s="1"/>
      <c r="E946" s="1"/>
      <c r="F946" s="1"/>
      <c r="G946" s="1"/>
      <c r="H946" s="1"/>
      <c r="M946" s="1"/>
    </row>
    <row r="947">
      <c r="B947" s="1"/>
      <c r="C947" s="1"/>
      <c r="D947" s="1"/>
      <c r="E947" s="1"/>
      <c r="F947" s="1"/>
      <c r="G947" s="1"/>
      <c r="H947" s="1"/>
      <c r="M947" s="1"/>
    </row>
    <row r="948">
      <c r="B948" s="1"/>
      <c r="C948" s="1"/>
      <c r="D948" s="1"/>
      <c r="E948" s="1"/>
      <c r="F948" s="1"/>
      <c r="G948" s="1"/>
      <c r="H948" s="1"/>
      <c r="M948" s="1"/>
    </row>
    <row r="949">
      <c r="B949" s="1"/>
      <c r="C949" s="1"/>
      <c r="D949" s="1"/>
      <c r="E949" s="1"/>
      <c r="F949" s="1"/>
      <c r="G949" s="1"/>
      <c r="H949" s="1"/>
      <c r="M949" s="1"/>
    </row>
    <row r="950">
      <c r="B950" s="1"/>
      <c r="C950" s="1"/>
      <c r="D950" s="1"/>
      <c r="E950" s="1"/>
      <c r="F950" s="1"/>
      <c r="G950" s="1"/>
      <c r="H950" s="1"/>
      <c r="M950" s="1"/>
    </row>
    <row r="951">
      <c r="B951" s="1"/>
      <c r="C951" s="1"/>
      <c r="D951" s="1"/>
      <c r="E951" s="1"/>
      <c r="F951" s="1"/>
      <c r="G951" s="1"/>
      <c r="H951" s="1"/>
      <c r="M951" s="1"/>
    </row>
    <row r="952">
      <c r="B952" s="1"/>
      <c r="C952" s="1"/>
      <c r="D952" s="1"/>
      <c r="E952" s="1"/>
      <c r="F952" s="1"/>
      <c r="G952" s="1"/>
      <c r="H952" s="1"/>
      <c r="M952" s="1"/>
    </row>
    <row r="953">
      <c r="B953" s="1"/>
      <c r="C953" s="1"/>
      <c r="D953" s="1"/>
      <c r="E953" s="1"/>
      <c r="F953" s="1"/>
      <c r="G953" s="1"/>
      <c r="H953" s="1"/>
      <c r="M953" s="1"/>
    </row>
    <row r="954">
      <c r="B954" s="1"/>
      <c r="C954" s="1"/>
      <c r="D954" s="1"/>
      <c r="E954" s="1"/>
      <c r="F954" s="1"/>
      <c r="G954" s="1"/>
      <c r="H954" s="1"/>
      <c r="M954" s="1"/>
    </row>
    <row r="955">
      <c r="B955" s="1"/>
      <c r="C955" s="1"/>
      <c r="D955" s="1"/>
      <c r="E955" s="1"/>
      <c r="F955" s="1"/>
      <c r="G955" s="1"/>
      <c r="H955" s="1"/>
      <c r="M955" s="1"/>
    </row>
    <row r="956">
      <c r="B956" s="1"/>
      <c r="C956" s="1"/>
      <c r="D956" s="1"/>
      <c r="E956" s="1"/>
      <c r="F956" s="1"/>
      <c r="G956" s="1"/>
      <c r="H956" s="1"/>
      <c r="M956" s="1"/>
    </row>
    <row r="957">
      <c r="B957" s="1"/>
      <c r="C957" s="1"/>
      <c r="D957" s="1"/>
      <c r="E957" s="1"/>
      <c r="F957" s="1"/>
      <c r="G957" s="1"/>
      <c r="H957" s="1"/>
      <c r="M957" s="1"/>
    </row>
    <row r="958">
      <c r="B958" s="1"/>
      <c r="C958" s="1"/>
      <c r="D958" s="1"/>
      <c r="E958" s="1"/>
      <c r="F958" s="1"/>
      <c r="G958" s="1"/>
      <c r="H958" s="1"/>
      <c r="M958" s="1"/>
    </row>
    <row r="959">
      <c r="B959" s="1"/>
      <c r="C959" s="1"/>
      <c r="D959" s="1"/>
      <c r="E959" s="1"/>
      <c r="F959" s="1"/>
      <c r="G959" s="1"/>
      <c r="H959" s="1"/>
      <c r="M959" s="1"/>
    </row>
    <row r="960">
      <c r="B960" s="1"/>
      <c r="C960" s="1"/>
      <c r="D960" s="1"/>
      <c r="E960" s="1"/>
      <c r="F960" s="1"/>
      <c r="G960" s="1"/>
      <c r="H960" s="1"/>
      <c r="M960" s="1"/>
    </row>
    <row r="961">
      <c r="B961" s="1"/>
      <c r="C961" s="1"/>
      <c r="D961" s="1"/>
      <c r="E961" s="1"/>
      <c r="F961" s="1"/>
      <c r="G961" s="1"/>
      <c r="H961" s="1"/>
      <c r="M961" s="1"/>
    </row>
    <row r="962">
      <c r="B962" s="1"/>
      <c r="C962" s="1"/>
      <c r="D962" s="1"/>
      <c r="E962" s="1"/>
      <c r="F962" s="1"/>
      <c r="G962" s="1"/>
      <c r="H962" s="1"/>
      <c r="M962" s="1"/>
    </row>
    <row r="963">
      <c r="B963" s="1"/>
      <c r="C963" s="1"/>
      <c r="D963" s="1"/>
      <c r="E963" s="1"/>
      <c r="F963" s="1"/>
      <c r="G963" s="1"/>
      <c r="H963" s="1"/>
      <c r="M963" s="1"/>
    </row>
    <row r="964">
      <c r="B964" s="1"/>
      <c r="C964" s="1"/>
      <c r="D964" s="1"/>
      <c r="E964" s="1"/>
      <c r="F964" s="1"/>
      <c r="G964" s="1"/>
      <c r="H964" s="1"/>
      <c r="M964" s="1"/>
    </row>
    <row r="965">
      <c r="B965" s="1"/>
      <c r="C965" s="1"/>
      <c r="D965" s="1"/>
      <c r="E965" s="1"/>
      <c r="F965" s="1"/>
      <c r="G965" s="1"/>
      <c r="H965" s="1"/>
      <c r="M965" s="1"/>
    </row>
    <row r="966">
      <c r="B966" s="1"/>
      <c r="C966" s="1"/>
      <c r="D966" s="1"/>
      <c r="E966" s="1"/>
      <c r="F966" s="1"/>
      <c r="G966" s="1"/>
      <c r="H966" s="1"/>
      <c r="M966" s="1"/>
    </row>
    <row r="967">
      <c r="B967" s="1"/>
      <c r="C967" s="1"/>
      <c r="D967" s="1"/>
      <c r="E967" s="1"/>
      <c r="F967" s="1"/>
      <c r="G967" s="1"/>
      <c r="H967" s="1"/>
      <c r="M967" s="1"/>
    </row>
    <row r="968">
      <c r="B968" s="1"/>
      <c r="C968" s="1"/>
      <c r="D968" s="1"/>
      <c r="E968" s="1"/>
      <c r="F968" s="1"/>
      <c r="G968" s="1"/>
      <c r="H968" s="1"/>
      <c r="M968" s="1"/>
    </row>
    <row r="969">
      <c r="B969" s="1"/>
      <c r="C969" s="1"/>
      <c r="D969" s="1"/>
      <c r="E969" s="1"/>
      <c r="F969" s="1"/>
      <c r="G969" s="1"/>
      <c r="H969" s="1"/>
      <c r="M969" s="1"/>
    </row>
    <row r="970">
      <c r="B970" s="1"/>
      <c r="C970" s="1"/>
      <c r="D970" s="1"/>
      <c r="E970" s="1"/>
      <c r="F970" s="1"/>
      <c r="G970" s="1"/>
      <c r="H970" s="1"/>
      <c r="M970" s="1"/>
    </row>
    <row r="971">
      <c r="B971" s="1"/>
      <c r="C971" s="1"/>
      <c r="D971" s="1"/>
      <c r="E971" s="1"/>
      <c r="F971" s="1"/>
      <c r="G971" s="1"/>
      <c r="H971" s="1"/>
      <c r="M971" s="1"/>
    </row>
    <row r="972">
      <c r="B972" s="1"/>
      <c r="C972" s="1"/>
      <c r="D972" s="1"/>
      <c r="E972" s="1"/>
      <c r="F972" s="1"/>
      <c r="G972" s="1"/>
      <c r="H972" s="1"/>
      <c r="M972" s="1"/>
    </row>
    <row r="973">
      <c r="B973" s="1"/>
      <c r="C973" s="1"/>
      <c r="D973" s="1"/>
      <c r="E973" s="1"/>
      <c r="F973" s="1"/>
      <c r="G973" s="1"/>
      <c r="H973" s="1"/>
      <c r="M973" s="1"/>
    </row>
    <row r="974">
      <c r="B974" s="1"/>
      <c r="C974" s="1"/>
      <c r="D974" s="1"/>
      <c r="E974" s="1"/>
      <c r="F974" s="1"/>
      <c r="G974" s="1"/>
      <c r="H974" s="1"/>
      <c r="M974" s="1"/>
    </row>
    <row r="975">
      <c r="B975" s="1"/>
      <c r="C975" s="1"/>
      <c r="D975" s="1"/>
      <c r="E975" s="1"/>
      <c r="F975" s="1"/>
      <c r="G975" s="1"/>
      <c r="H975" s="1"/>
      <c r="M975" s="1"/>
    </row>
    <row r="976">
      <c r="B976" s="1"/>
      <c r="C976" s="1"/>
      <c r="D976" s="1"/>
      <c r="E976" s="1"/>
      <c r="F976" s="1"/>
      <c r="G976" s="1"/>
      <c r="H976" s="1"/>
      <c r="M976" s="1"/>
    </row>
    <row r="977">
      <c r="B977" s="1"/>
      <c r="C977" s="1"/>
      <c r="D977" s="1"/>
      <c r="E977" s="1"/>
      <c r="F977" s="1"/>
      <c r="G977" s="1"/>
      <c r="H977" s="1"/>
      <c r="M977" s="1"/>
    </row>
    <row r="978">
      <c r="B978" s="1"/>
      <c r="C978" s="1"/>
      <c r="D978" s="1"/>
      <c r="E978" s="1"/>
      <c r="F978" s="1"/>
      <c r="G978" s="1"/>
      <c r="H978" s="1"/>
      <c r="M978" s="1"/>
    </row>
    <row r="979">
      <c r="B979" s="1"/>
      <c r="C979" s="1"/>
      <c r="D979" s="1"/>
      <c r="E979" s="1"/>
      <c r="F979" s="1"/>
      <c r="G979" s="1"/>
      <c r="H979" s="1"/>
      <c r="M979" s="1"/>
    </row>
    <row r="980">
      <c r="B980" s="1"/>
      <c r="C980" s="1"/>
      <c r="D980" s="1"/>
      <c r="E980" s="1"/>
      <c r="F980" s="1"/>
      <c r="G980" s="1"/>
      <c r="H980" s="1"/>
      <c r="M980" s="1"/>
    </row>
    <row r="981">
      <c r="B981" s="1"/>
      <c r="C981" s="1"/>
      <c r="D981" s="1"/>
      <c r="E981" s="1"/>
      <c r="F981" s="1"/>
      <c r="G981" s="1"/>
      <c r="H981" s="1"/>
      <c r="M981" s="1"/>
    </row>
    <row r="982">
      <c r="B982" s="1"/>
      <c r="C982" s="1"/>
      <c r="D982" s="1"/>
      <c r="E982" s="1"/>
      <c r="F982" s="1"/>
      <c r="G982" s="1"/>
      <c r="H982" s="1"/>
      <c r="M982" s="1"/>
    </row>
    <row r="983">
      <c r="B983" s="1"/>
      <c r="C983" s="1"/>
      <c r="D983" s="1"/>
      <c r="E983" s="1"/>
      <c r="F983" s="1"/>
      <c r="G983" s="1"/>
      <c r="H983" s="1"/>
      <c r="M983" s="1"/>
    </row>
    <row r="984">
      <c r="B984" s="1"/>
      <c r="C984" s="1"/>
      <c r="D984" s="1"/>
      <c r="E984" s="1"/>
      <c r="F984" s="1"/>
      <c r="G984" s="1"/>
      <c r="H984" s="1"/>
      <c r="M984" s="1"/>
    </row>
    <row r="985">
      <c r="B985" s="1"/>
      <c r="C985" s="1"/>
      <c r="D985" s="1"/>
      <c r="E985" s="1"/>
      <c r="F985" s="1"/>
      <c r="G985" s="1"/>
      <c r="H985" s="1"/>
      <c r="M985" s="1"/>
    </row>
    <row r="986">
      <c r="B986" s="1"/>
      <c r="C986" s="1"/>
      <c r="D986" s="1"/>
      <c r="E986" s="1"/>
      <c r="F986" s="1"/>
      <c r="G986" s="1"/>
      <c r="H986" s="1"/>
      <c r="M986" s="1"/>
    </row>
    <row r="987">
      <c r="B987" s="1"/>
      <c r="C987" s="1"/>
      <c r="D987" s="1"/>
      <c r="E987" s="1"/>
      <c r="F987" s="1"/>
      <c r="G987" s="1"/>
      <c r="H987" s="1"/>
      <c r="M987" s="1"/>
    </row>
    <row r="988">
      <c r="B988" s="1"/>
      <c r="C988" s="1"/>
      <c r="D988" s="1"/>
      <c r="E988" s="1"/>
      <c r="F988" s="1"/>
      <c r="G988" s="1"/>
      <c r="H988" s="1"/>
      <c r="M988" s="1"/>
    </row>
    <row r="989">
      <c r="B989" s="1"/>
      <c r="C989" s="1"/>
      <c r="D989" s="1"/>
      <c r="E989" s="1"/>
      <c r="F989" s="1"/>
      <c r="G989" s="1"/>
      <c r="H989" s="1"/>
      <c r="M989" s="1"/>
    </row>
    <row r="990">
      <c r="B990" s="1"/>
      <c r="C990" s="1"/>
      <c r="D990" s="1"/>
      <c r="E990" s="1"/>
      <c r="F990" s="1"/>
      <c r="G990" s="1"/>
      <c r="H990" s="1"/>
      <c r="M990" s="1"/>
    </row>
    <row r="991">
      <c r="B991" s="1"/>
      <c r="C991" s="1"/>
      <c r="D991" s="1"/>
      <c r="E991" s="1"/>
      <c r="F991" s="1"/>
      <c r="G991" s="1"/>
      <c r="H991" s="1"/>
      <c r="M991" s="1"/>
    </row>
    <row r="992">
      <c r="B992" s="1"/>
      <c r="C992" s="1"/>
      <c r="D992" s="1"/>
      <c r="E992" s="1"/>
      <c r="F992" s="1"/>
      <c r="G992" s="1"/>
      <c r="H992" s="1"/>
      <c r="M992" s="1"/>
    </row>
    <row r="993">
      <c r="B993" s="1"/>
      <c r="C993" s="1"/>
      <c r="D993" s="1"/>
      <c r="E993" s="1"/>
      <c r="F993" s="1"/>
      <c r="G993" s="1"/>
      <c r="H993" s="1"/>
      <c r="M993" s="1"/>
    </row>
    <row r="994">
      <c r="B994" s="1"/>
      <c r="C994" s="1"/>
      <c r="D994" s="1"/>
      <c r="E994" s="1"/>
      <c r="F994" s="1"/>
      <c r="G994" s="1"/>
      <c r="H994" s="1"/>
      <c r="M994" s="1"/>
    </row>
    <row r="995">
      <c r="B995" s="1"/>
      <c r="C995" s="1"/>
      <c r="D995" s="1"/>
      <c r="E995" s="1"/>
      <c r="F995" s="1"/>
      <c r="G995" s="1"/>
      <c r="H995" s="1"/>
      <c r="M995" s="1"/>
    </row>
  </sheetData>
  <mergeCells count="131">
    <mergeCell ref="C11:E11"/>
    <mergeCell ref="F11:J11"/>
    <mergeCell ref="K11:M11"/>
    <mergeCell ref="N11:S11"/>
    <mergeCell ref="T11:W11"/>
    <mergeCell ref="X11:Y11"/>
    <mergeCell ref="AB11:AE11"/>
    <mergeCell ref="C12:E12"/>
    <mergeCell ref="F12:J12"/>
    <mergeCell ref="K12:M12"/>
    <mergeCell ref="N12:S12"/>
    <mergeCell ref="T12:W12"/>
    <mergeCell ref="X12:Y12"/>
    <mergeCell ref="AB12:AE12"/>
    <mergeCell ref="C5:E5"/>
    <mergeCell ref="F5:J5"/>
    <mergeCell ref="K5:M5"/>
    <mergeCell ref="N5:S5"/>
    <mergeCell ref="T5:W5"/>
    <mergeCell ref="X5:Y5"/>
    <mergeCell ref="AB5:AE5"/>
    <mergeCell ref="C6:E6"/>
    <mergeCell ref="F6:J6"/>
    <mergeCell ref="K6:M6"/>
    <mergeCell ref="N6:S6"/>
    <mergeCell ref="T6:W6"/>
    <mergeCell ref="X6:Y6"/>
    <mergeCell ref="AB6:AE6"/>
    <mergeCell ref="C7:E7"/>
    <mergeCell ref="F7:J7"/>
    <mergeCell ref="K7:M7"/>
    <mergeCell ref="N7:S7"/>
    <mergeCell ref="T7:W7"/>
    <mergeCell ref="X7:Y7"/>
    <mergeCell ref="AB7:AE7"/>
    <mergeCell ref="C8:E8"/>
    <mergeCell ref="F8:J8"/>
    <mergeCell ref="K8:M8"/>
    <mergeCell ref="N8:S8"/>
    <mergeCell ref="T8:W8"/>
    <mergeCell ref="X8:Y8"/>
    <mergeCell ref="AB8:AE8"/>
    <mergeCell ref="C9:E9"/>
    <mergeCell ref="F9:J9"/>
    <mergeCell ref="K9:M9"/>
    <mergeCell ref="N9:S9"/>
    <mergeCell ref="T9:W9"/>
    <mergeCell ref="X9:Y9"/>
    <mergeCell ref="AB9:AE9"/>
    <mergeCell ref="C10:E10"/>
    <mergeCell ref="F10:J10"/>
    <mergeCell ref="K10:M10"/>
    <mergeCell ref="N10:S10"/>
    <mergeCell ref="T10:W10"/>
    <mergeCell ref="X10:Y10"/>
    <mergeCell ref="AB10:AE10"/>
    <mergeCell ref="C15:E15"/>
    <mergeCell ref="F15:J15"/>
    <mergeCell ref="K15:M15"/>
    <mergeCell ref="N15:S15"/>
    <mergeCell ref="T15:W15"/>
    <mergeCell ref="X15:Y15"/>
    <mergeCell ref="AB15:AE15"/>
    <mergeCell ref="C16:E16"/>
    <mergeCell ref="C17:E17"/>
    <mergeCell ref="C18:E18"/>
    <mergeCell ref="C19:E19"/>
    <mergeCell ref="F17:J17"/>
    <mergeCell ref="K17:M17"/>
    <mergeCell ref="N17:S17"/>
    <mergeCell ref="T17:W17"/>
    <mergeCell ref="AB16:AE16"/>
    <mergeCell ref="AB17:AE17"/>
    <mergeCell ref="F18:J18"/>
    <mergeCell ref="K18:M18"/>
    <mergeCell ref="X18:Y18"/>
    <mergeCell ref="AB18:AE18"/>
    <mergeCell ref="F19:J19"/>
    <mergeCell ref="K19:M19"/>
    <mergeCell ref="N18:S18"/>
    <mergeCell ref="T18:W18"/>
    <mergeCell ref="N19:S19"/>
    <mergeCell ref="T19:W19"/>
    <mergeCell ref="X19:Y19"/>
    <mergeCell ref="AB19:AE19"/>
    <mergeCell ref="C20:E20"/>
    <mergeCell ref="F20:J20"/>
    <mergeCell ref="C21:E21"/>
    <mergeCell ref="F21:J21"/>
    <mergeCell ref="K20:M20"/>
    <mergeCell ref="N20:S20"/>
    <mergeCell ref="T20:W20"/>
    <mergeCell ref="X20:Y20"/>
    <mergeCell ref="N21:S21"/>
    <mergeCell ref="T21:W21"/>
    <mergeCell ref="AB22:AE22"/>
    <mergeCell ref="K23:M23"/>
    <mergeCell ref="N23:S23"/>
    <mergeCell ref="T23:W23"/>
    <mergeCell ref="X23:Y23"/>
    <mergeCell ref="AB23:AE23"/>
    <mergeCell ref="F16:J16"/>
    <mergeCell ref="N16:S16"/>
    <mergeCell ref="T16:W16"/>
    <mergeCell ref="X16:Y16"/>
    <mergeCell ref="AG16:AG24"/>
    <mergeCell ref="X17:Y17"/>
    <mergeCell ref="X21:Y21"/>
    <mergeCell ref="AB24:AE24"/>
    <mergeCell ref="K16:M16"/>
    <mergeCell ref="K21:M21"/>
    <mergeCell ref="AB20:AE20"/>
    <mergeCell ref="AB21:AE21"/>
    <mergeCell ref="C22:E22"/>
    <mergeCell ref="F22:J22"/>
    <mergeCell ref="C23:E23"/>
    <mergeCell ref="F23:J23"/>
    <mergeCell ref="C24:E24"/>
    <mergeCell ref="F24:J24"/>
    <mergeCell ref="K22:M22"/>
    <mergeCell ref="N22:S22"/>
    <mergeCell ref="T22:W22"/>
    <mergeCell ref="X22:Y22"/>
    <mergeCell ref="K24:M24"/>
    <mergeCell ref="N24:S24"/>
    <mergeCell ref="B103:AH103"/>
    <mergeCell ref="B109:AH109"/>
    <mergeCell ref="B112:AH112"/>
    <mergeCell ref="B121:AH122"/>
    <mergeCell ref="T24:W24"/>
    <mergeCell ref="X24:Y24"/>
  </mergeCells>
  <conditionalFormatting sqref="C8:AH8 AJ8:AN8">
    <cfRule type="colorScale" priority="1">
      <colorScale>
        <cfvo type="min"/>
        <cfvo type="percentile" val="50"/>
        <cfvo type="max"/>
        <color rgb="FFFF4848"/>
        <color rgb="FFFFCB3E"/>
        <color rgb="FF57BB8A"/>
      </colorScale>
    </cfRule>
  </conditionalFormatting>
  <conditionalFormatting sqref="C6:AH6 AJ6:AN6 AG16:AG24">
    <cfRule type="colorScale" priority="2">
      <colorScale>
        <cfvo type="min"/>
        <cfvo type="percentile" val="50"/>
        <cfvo type="max"/>
        <color rgb="FF57BB8A"/>
        <color rgb="FFFFCB3E"/>
        <color rgb="FFFF4848"/>
      </colorScale>
    </cfRule>
  </conditionalFormatting>
  <conditionalFormatting sqref="C7:AH7 AJ7:AN7">
    <cfRule type="colorScale" priority="3">
      <colorScale>
        <cfvo type="min"/>
        <cfvo type="percentile" val="50"/>
        <cfvo type="max"/>
        <color rgb="FFFF4848"/>
        <color rgb="FFFFCB3E"/>
        <color rgb="FF57BB8A"/>
      </colorScale>
    </cfRule>
  </conditionalFormatting>
  <conditionalFormatting sqref="C9:AH9 AJ9:AN9">
    <cfRule type="colorScale" priority="4">
      <colorScale>
        <cfvo type="min"/>
        <cfvo type="percentile" val="50"/>
        <cfvo type="max"/>
        <color rgb="FFFF4848"/>
        <color rgb="FFFFCB3E"/>
        <color rgb="FF57BB8A"/>
      </colorScale>
    </cfRule>
  </conditionalFormatting>
  <conditionalFormatting sqref="C10:AH10 AJ10:AN10">
    <cfRule type="colorScale" priority="5">
      <colorScale>
        <cfvo type="min"/>
        <cfvo type="percentile" val="50"/>
        <cfvo type="max"/>
        <color rgb="FF57BB8A"/>
        <color rgb="FFFFCB3E"/>
        <color rgb="FFFF4848"/>
      </colorScale>
    </cfRule>
  </conditionalFormatting>
  <conditionalFormatting sqref="C11:AH11 AJ11:AN11">
    <cfRule type="colorScale" priority="6">
      <colorScale>
        <cfvo type="min"/>
        <cfvo type="percentile" val="50"/>
        <cfvo type="max"/>
        <color rgb="FF57BB8A"/>
        <color rgb="FFFFCB3E"/>
        <color rgb="FFFF4848"/>
      </colorScale>
    </cfRule>
  </conditionalFormatting>
  <conditionalFormatting sqref="C29:AH29 AJ29:AN29">
    <cfRule type="colorScale" priority="7">
      <colorScale>
        <cfvo type="min"/>
        <cfvo type="percentile" val="50"/>
        <cfvo type="max"/>
        <color rgb="FFFFCB3E"/>
        <color rgb="FF57BB8A"/>
        <color rgb="FFE67C73"/>
      </colorScale>
    </cfRule>
  </conditionalFormatting>
  <conditionalFormatting sqref="C30:AH30 AJ30:AN30">
    <cfRule type="containsText" dxfId="0" priority="8" operator="containsText" text="Yes">
      <formula>NOT(ISERROR(SEARCH(("Yes"),(C30))))</formula>
    </cfRule>
  </conditionalFormatting>
  <conditionalFormatting sqref="C30:AH30 AJ30:AN30">
    <cfRule type="containsText" dxfId="1" priority="9" operator="containsText" text="No">
      <formula>NOT(ISERROR(SEARCH(("No"),(C30))))</formula>
    </cfRule>
  </conditionalFormatting>
  <conditionalFormatting sqref="C31:AH31 AJ31:AN31">
    <cfRule type="colorScale" priority="10">
      <colorScale>
        <cfvo type="min"/>
        <cfvo type="formula" val="40"/>
        <cfvo type="max"/>
        <color rgb="FFFF4848"/>
        <color rgb="FF57BB8A"/>
        <color rgb="FFFFB84C"/>
      </colorScale>
    </cfRule>
  </conditionalFormatting>
  <conditionalFormatting sqref="C32:AH32 AJ32:AN32">
    <cfRule type="colorScale" priority="11">
      <colorScale>
        <cfvo type="min"/>
        <cfvo type="percentile" val="50"/>
        <cfvo type="max"/>
        <color rgb="FFFF4848"/>
        <color rgb="FFFFD666"/>
        <color rgb="FF57BB8A"/>
      </colorScale>
    </cfRule>
  </conditionalFormatting>
  <conditionalFormatting sqref="C33:AH33 AJ33:AN33">
    <cfRule type="colorScale" priority="12">
      <colorScale>
        <cfvo type="min"/>
        <cfvo type="percentile" val="50"/>
        <cfvo type="max"/>
        <color rgb="FF57BB8A"/>
        <color rgb="FFFFD666"/>
        <color rgb="FFFF4848"/>
      </colorScale>
    </cfRule>
  </conditionalFormatting>
  <conditionalFormatting sqref="C34:AH34 AJ34:AN34">
    <cfRule type="colorScale" priority="13">
      <colorScale>
        <cfvo type="min"/>
        <cfvo type="formula" val="22"/>
        <cfvo type="max"/>
        <color rgb="FFFFB84C"/>
        <color rgb="FF34A853"/>
        <color rgb="FFFF4848"/>
      </colorScale>
    </cfRule>
  </conditionalFormatting>
  <conditionalFormatting sqref="C35:AH35 AJ35:AN35">
    <cfRule type="colorScale" priority="14">
      <colorScale>
        <cfvo type="min"/>
        <cfvo type="percentile" val="50"/>
        <cfvo type="max"/>
        <color rgb="FFEA4335"/>
        <color rgb="FFFFD666"/>
        <color rgb="FF34A853"/>
      </colorScale>
    </cfRule>
  </conditionalFormatting>
  <conditionalFormatting sqref="C36:AH36 AJ36:AN36">
    <cfRule type="colorScale" priority="15">
      <colorScale>
        <cfvo type="min"/>
        <cfvo type="percentile" val="50"/>
        <cfvo type="max"/>
        <color rgb="FF34A853"/>
        <color rgb="FFFFD666"/>
        <color rgb="FFFF4848"/>
      </colorScale>
    </cfRule>
  </conditionalFormatting>
  <conditionalFormatting sqref="C38:AH38 AJ38:AN38">
    <cfRule type="colorScale" priority="16">
      <colorScale>
        <cfvo type="min"/>
        <cfvo type="percentile" val="50"/>
        <cfvo type="max"/>
        <color rgb="FFFF4848"/>
        <color rgb="FFFFD666"/>
        <color rgb="FF34A853"/>
      </colorScale>
    </cfRule>
  </conditionalFormatting>
  <conditionalFormatting sqref="C39:AH39 AJ39:AN39">
    <cfRule type="colorScale" priority="17">
      <colorScale>
        <cfvo type="min"/>
        <cfvo type="percentile" val="50"/>
        <cfvo type="max"/>
        <color rgb="FFFF4848"/>
        <color rgb="FFFFD666"/>
        <color rgb="FF34A853"/>
      </colorScale>
    </cfRule>
  </conditionalFormatting>
  <conditionalFormatting sqref="C37:AH37 AJ37:AN37">
    <cfRule type="colorScale" priority="18">
      <colorScale>
        <cfvo type="min"/>
        <cfvo type="percentile" val="50"/>
        <cfvo type="max"/>
        <color rgb="FFFF4848"/>
        <color rgb="FFFFD666"/>
        <color rgb="FF34A853"/>
      </colorScale>
    </cfRule>
  </conditionalFormatting>
  <conditionalFormatting sqref="C40:AH40 AJ40:AN40">
    <cfRule type="colorScale" priority="19">
      <colorScale>
        <cfvo type="min"/>
        <cfvo type="percentile" val="50"/>
        <cfvo type="max"/>
        <color rgb="FFEA4335"/>
        <color rgb="FFFFD666"/>
        <color rgb="FF34A853"/>
      </colorScale>
    </cfRule>
  </conditionalFormatting>
  <conditionalFormatting sqref="C41:AH41 AJ41:AN41">
    <cfRule type="colorScale" priority="20">
      <colorScale>
        <cfvo type="min"/>
        <cfvo type="percentile" val="50"/>
        <cfvo type="max"/>
        <color rgb="FFFF4848"/>
        <color rgb="FFFFD666"/>
        <color rgb="FF34A853"/>
      </colorScale>
    </cfRule>
  </conditionalFormatting>
  <conditionalFormatting sqref="C43:AH43 AJ43:AN43">
    <cfRule type="colorScale" priority="21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C42:AH42 AJ42:AN42">
    <cfRule type="colorScale" priority="22">
      <colorScale>
        <cfvo type="min"/>
        <cfvo type="percentile" val="50"/>
        <cfvo type="max"/>
        <color rgb="FF34A853"/>
        <color rgb="FFFFD666"/>
        <color rgb="FFFF4848"/>
      </colorScale>
    </cfRule>
  </conditionalFormatting>
  <conditionalFormatting sqref="C45:AH45 AJ45:AN45">
    <cfRule type="colorScale" priority="23">
      <colorScale>
        <cfvo type="min"/>
        <cfvo type="percentile" val="50"/>
        <cfvo type="max"/>
        <color rgb="FFFF4848"/>
        <color rgb="FFFFD666"/>
        <color rgb="FF34A853"/>
      </colorScale>
    </cfRule>
  </conditionalFormatting>
  <conditionalFormatting sqref="C44:AH44 AJ44:AN44">
    <cfRule type="colorScale" priority="24">
      <colorScale>
        <cfvo type="min"/>
        <cfvo type="percentile" val="50"/>
        <cfvo type="max"/>
        <color rgb="FF34A853"/>
        <color rgb="FFFFD666"/>
        <color rgb="FFFF4848"/>
      </colorScale>
    </cfRule>
  </conditionalFormatting>
  <conditionalFormatting sqref="C46:AH46 AJ46:AN46">
    <cfRule type="colorScale" priority="25">
      <colorScale>
        <cfvo type="min"/>
        <cfvo type="percentile" val="50"/>
        <cfvo type="max"/>
        <color rgb="FF34A853"/>
        <color rgb="FFFFD666"/>
        <color rgb="FFFF4848"/>
      </colorScale>
    </cfRule>
  </conditionalFormatting>
  <conditionalFormatting sqref="C49:AH49 AJ49:AN49">
    <cfRule type="colorScale" priority="26">
      <colorScale>
        <cfvo type="min"/>
        <cfvo type="percentile" val="50"/>
        <cfvo type="max"/>
        <color rgb="FFFF4848"/>
        <color rgb="FFFFD666"/>
        <color rgb="FF34A853"/>
      </colorScale>
    </cfRule>
  </conditionalFormatting>
  <conditionalFormatting sqref="C48:AH48 AJ48:AN48">
    <cfRule type="colorScale" priority="27">
      <colorScale>
        <cfvo type="min"/>
        <cfvo type="percentile" val="50"/>
        <cfvo type="max"/>
        <color rgb="FF34A853"/>
        <color rgb="FFFFD666"/>
        <color rgb="FFFF4848"/>
      </colorScale>
    </cfRule>
  </conditionalFormatting>
  <conditionalFormatting sqref="C47:AH47 AJ47:AN47">
    <cfRule type="colorScale" priority="28">
      <colorScale>
        <cfvo type="min"/>
        <cfvo type="percentile" val="50"/>
        <cfvo type="max"/>
        <color rgb="FF34A853"/>
        <color rgb="FFFFD666"/>
        <color rgb="FFFF4848"/>
      </colorScale>
    </cfRule>
  </conditionalFormatting>
  <conditionalFormatting sqref="C50:AH52 AJ50:AN52">
    <cfRule type="colorScale" priority="29">
      <colorScale>
        <cfvo type="min"/>
        <cfvo type="percentile" val="50"/>
        <cfvo type="max"/>
        <color rgb="FF34A853"/>
        <color rgb="FFFFD666"/>
        <color rgb="FFFF4848"/>
      </colorScale>
    </cfRule>
  </conditionalFormatting>
  <conditionalFormatting sqref="C12:AH12 AJ12:AN12">
    <cfRule type="containsText" dxfId="2" priority="30" operator="containsText" text="Yes">
      <formula>NOT(ISERROR(SEARCH(("Yes"),(C12))))</formula>
    </cfRule>
  </conditionalFormatting>
  <conditionalFormatting sqref="C12:AH12 AJ12:AN12">
    <cfRule type="containsText" dxfId="3" priority="31" operator="containsText" text="No">
      <formula>NOT(ISERROR(SEARCH(("No"),(C12))))</formula>
    </cfRule>
  </conditionalFormatting>
  <conditionalFormatting sqref="C57:AG57">
    <cfRule type="colorScale" priority="32">
      <colorScale>
        <cfvo type="min"/>
        <cfvo type="percentile" val="50"/>
        <cfvo type="max"/>
        <color rgb="FF34A853"/>
        <color rgb="FFFFD666"/>
        <color rgb="FFFF4848"/>
      </colorScale>
    </cfRule>
  </conditionalFormatting>
  <conditionalFormatting sqref="C61:AG61">
    <cfRule type="colorScale" priority="33">
      <colorScale>
        <cfvo type="min"/>
        <cfvo type="percentile" val="50"/>
        <cfvo type="max"/>
        <color rgb="FF34A853"/>
        <color rgb="FFFFD666"/>
        <color rgb="FFFF4848"/>
      </colorScale>
    </cfRule>
  </conditionalFormatting>
  <conditionalFormatting sqref="C63:AG63">
    <cfRule type="colorScale" priority="34">
      <colorScale>
        <cfvo type="min"/>
        <cfvo type="percentile" val="50"/>
        <cfvo type="max"/>
        <color rgb="FF34A853"/>
        <color rgb="FFFFD666"/>
        <color rgb="FFFF4848"/>
      </colorScale>
    </cfRule>
  </conditionalFormatting>
  <conditionalFormatting sqref="C62:AG62">
    <cfRule type="colorScale" priority="35">
      <colorScale>
        <cfvo type="min"/>
        <cfvo type="percentile" val="50"/>
        <cfvo type="max"/>
        <color rgb="FF34A853"/>
        <color rgb="FFFFD666"/>
        <color rgb="FFFF4848"/>
      </colorScale>
    </cfRule>
  </conditionalFormatting>
  <conditionalFormatting sqref="C59:AG59">
    <cfRule type="colorScale" priority="36">
      <colorScale>
        <cfvo type="min"/>
        <cfvo type="percentile" val="50"/>
        <cfvo type="max"/>
        <color rgb="FF34A853"/>
        <color rgb="FFFFD666"/>
        <color rgb="FFFF4848"/>
      </colorScale>
    </cfRule>
  </conditionalFormatting>
  <conditionalFormatting sqref="C64:AG64">
    <cfRule type="colorScale" priority="37">
      <colorScale>
        <cfvo type="min"/>
        <cfvo type="percentile" val="50"/>
        <cfvo type="max"/>
        <color rgb="FF34A853"/>
        <color rgb="FFFFD666"/>
        <color rgb="FFFF4848"/>
      </colorScale>
    </cfRule>
  </conditionalFormatting>
  <conditionalFormatting sqref="C66:AG66">
    <cfRule type="colorScale" priority="38">
      <colorScale>
        <cfvo type="min"/>
        <cfvo type="percentile" val="50"/>
        <cfvo type="max"/>
        <color rgb="FF34A853"/>
        <color rgb="FFFFD666"/>
        <color rgb="FFFF4848"/>
      </colorScale>
    </cfRule>
  </conditionalFormatting>
  <conditionalFormatting sqref="C67:AG67">
    <cfRule type="colorScale" priority="39">
      <colorScale>
        <cfvo type="min"/>
        <cfvo type="percentile" val="50"/>
        <cfvo type="max"/>
        <color rgb="FF34A853"/>
        <color rgb="FFFFD666"/>
        <color rgb="FFFF4848"/>
      </colorScale>
    </cfRule>
  </conditionalFormatting>
  <conditionalFormatting sqref="C60:AG60">
    <cfRule type="colorScale" priority="40">
      <colorScale>
        <cfvo type="min"/>
        <cfvo type="percentile" val="50"/>
        <cfvo type="max"/>
        <color rgb="FF34A853"/>
        <color rgb="FFFFD666"/>
        <color rgb="FFFF4848"/>
      </colorScale>
    </cfRule>
  </conditionalFormatting>
  <conditionalFormatting sqref="C65:AG65">
    <cfRule type="colorScale" priority="41">
      <colorScale>
        <cfvo type="min"/>
        <cfvo type="percentile" val="50"/>
        <cfvo type="max"/>
        <color rgb="FF34A853"/>
        <color rgb="FFFFD666"/>
        <color rgb="FFFF4848"/>
      </colorScale>
    </cfRule>
  </conditionalFormatting>
  <conditionalFormatting sqref="C68:AG68">
    <cfRule type="colorScale" priority="42">
      <colorScale>
        <cfvo type="min"/>
        <cfvo type="percentile" val="50"/>
        <cfvo type="max"/>
        <color rgb="FF34A853"/>
        <color rgb="FFFFD666"/>
        <color rgb="FFFF4848"/>
      </colorScale>
    </cfRule>
  </conditionalFormatting>
  <conditionalFormatting sqref="C69:AG69">
    <cfRule type="colorScale" priority="43">
      <colorScale>
        <cfvo type="min"/>
        <cfvo type="percentile" val="50"/>
        <cfvo type="max"/>
        <color rgb="FF34A853"/>
        <color rgb="FFFFD666"/>
        <color rgb="FFFF4848"/>
      </colorScale>
    </cfRule>
  </conditionalFormatting>
  <conditionalFormatting sqref="C70:AG70">
    <cfRule type="colorScale" priority="44">
      <colorScale>
        <cfvo type="min"/>
        <cfvo type="percentile" val="50"/>
        <cfvo type="max"/>
        <color rgb="FF34A853"/>
        <color rgb="FFFFD666"/>
        <color rgb="FFFF4848"/>
      </colorScale>
    </cfRule>
  </conditionalFormatting>
  <conditionalFormatting sqref="C71:AG71">
    <cfRule type="colorScale" priority="45">
      <colorScale>
        <cfvo type="min"/>
        <cfvo type="percentile" val="50"/>
        <cfvo type="max"/>
        <color rgb="FF34A853"/>
        <color rgb="FFFFD666"/>
        <color rgb="FFFF4848"/>
      </colorScale>
    </cfRule>
  </conditionalFormatting>
  <conditionalFormatting sqref="C58:AG58">
    <cfRule type="colorScale" priority="46">
      <colorScale>
        <cfvo type="min"/>
        <cfvo type="percentile" val="50"/>
        <cfvo type="max"/>
        <color rgb="FF34A853"/>
        <color rgb="FFFFD666"/>
        <color rgb="FFFF4848"/>
      </colorScale>
    </cfRule>
  </conditionalFormatting>
  <conditionalFormatting sqref="C56:AG56">
    <cfRule type="colorScale" priority="47">
      <colorScale>
        <cfvo type="min"/>
        <cfvo type="percentile" val="50"/>
        <cfvo type="max"/>
        <color rgb="FF34A853"/>
        <color rgb="FFFFD666"/>
        <color rgb="FFFF4848"/>
      </colorScale>
    </cfRule>
  </conditionalFormatting>
  <conditionalFormatting sqref="B56">
    <cfRule type="notContainsBlanks" dxfId="4" priority="48">
      <formula>LEN(TRIM(B56))&gt;0</formula>
    </cfRule>
  </conditionalFormatting>
  <conditionalFormatting sqref="C73:AG73">
    <cfRule type="colorScale" priority="49">
      <colorScale>
        <cfvo type="min"/>
        <cfvo type="percentile" val="50"/>
        <cfvo type="max"/>
        <color rgb="FF34A853"/>
        <color rgb="FFFFD666"/>
        <color rgb="FFFF4848"/>
      </colorScale>
    </cfRule>
  </conditionalFormatting>
  <conditionalFormatting sqref="C73:AG73">
    <cfRule type="notContainsBlanks" dxfId="5" priority="50">
      <formula>LEN(TRIM(C73))&gt;0</formula>
    </cfRule>
  </conditionalFormatting>
  <conditionalFormatting sqref="C74:AG74">
    <cfRule type="colorScale" priority="51">
      <colorScale>
        <cfvo type="min"/>
        <cfvo type="percentile" val="50"/>
        <cfvo type="max"/>
        <color rgb="FF34A853"/>
        <color rgb="FFFFD666"/>
        <color rgb="FFFF4848"/>
      </colorScale>
    </cfRule>
  </conditionalFormatting>
  <conditionalFormatting sqref="C74:AG74">
    <cfRule type="notContainsBlanks" dxfId="5" priority="52">
      <formula>LEN(TRIM(C74))&gt;0</formula>
    </cfRule>
  </conditionalFormatting>
  <conditionalFormatting sqref="C75:AG75">
    <cfRule type="colorScale" priority="53">
      <colorScale>
        <cfvo type="min"/>
        <cfvo type="percentile" val="50"/>
        <cfvo type="max"/>
        <color rgb="FF34A853"/>
        <color rgb="FFFFD666"/>
        <color rgb="FFFF4848"/>
      </colorScale>
    </cfRule>
  </conditionalFormatting>
  <conditionalFormatting sqref="C76:AG76">
    <cfRule type="colorScale" priority="54">
      <colorScale>
        <cfvo type="min"/>
        <cfvo type="percentile" val="50"/>
        <cfvo type="max"/>
        <color rgb="FF34A853"/>
        <color rgb="FFFFD666"/>
        <color rgb="FFFF4848"/>
      </colorScale>
    </cfRule>
  </conditionalFormatting>
  <conditionalFormatting sqref="C77:AG77">
    <cfRule type="colorScale" priority="55">
      <colorScale>
        <cfvo type="min"/>
        <cfvo type="percentile" val="50"/>
        <cfvo type="max"/>
        <color rgb="FF34A853"/>
        <color rgb="FFFFD666"/>
        <color rgb="FFFF4848"/>
      </colorScale>
    </cfRule>
  </conditionalFormatting>
  <conditionalFormatting sqref="C78:AG78">
    <cfRule type="colorScale" priority="56">
      <colorScale>
        <cfvo type="min"/>
        <cfvo type="percentile" val="50"/>
        <cfvo type="max"/>
        <color rgb="FF34A853"/>
        <color rgb="FFFFD666"/>
        <color rgb="FFFF4848"/>
      </colorScale>
    </cfRule>
  </conditionalFormatting>
  <conditionalFormatting sqref="C79:AG79">
    <cfRule type="colorScale" priority="57">
      <colorScale>
        <cfvo type="min"/>
        <cfvo type="percentile" val="50"/>
        <cfvo type="max"/>
        <color rgb="FF34A853"/>
        <color rgb="FFFFD666"/>
        <color rgb="FFFF4848"/>
      </colorScale>
    </cfRule>
  </conditionalFormatting>
  <conditionalFormatting sqref="C81:AG81">
    <cfRule type="colorScale" priority="58">
      <colorScale>
        <cfvo type="min"/>
        <cfvo type="percentile" val="50"/>
        <cfvo type="max"/>
        <color rgb="FF34A853"/>
        <color rgb="FFFFD666"/>
        <color rgb="FFFF4848"/>
      </colorScale>
    </cfRule>
  </conditionalFormatting>
  <conditionalFormatting sqref="C82:AG82">
    <cfRule type="colorScale" priority="59">
      <colorScale>
        <cfvo type="min"/>
        <cfvo type="percentile" val="50"/>
        <cfvo type="max"/>
        <color rgb="FF34A853"/>
        <color rgb="FFFFD666"/>
        <color rgb="FFFF4848"/>
      </colorScale>
    </cfRule>
  </conditionalFormatting>
  <conditionalFormatting sqref="C83:AG83">
    <cfRule type="colorScale" priority="60">
      <colorScale>
        <cfvo type="min"/>
        <cfvo type="percentile" val="50"/>
        <cfvo type="max"/>
        <color rgb="FF34A853"/>
        <color rgb="FFFFD666"/>
        <color rgb="FFFF4848"/>
      </colorScale>
    </cfRule>
  </conditionalFormatting>
  <conditionalFormatting sqref="C84:AG84">
    <cfRule type="colorScale" priority="61">
      <colorScale>
        <cfvo type="min"/>
        <cfvo type="percentile" val="50"/>
        <cfvo type="max"/>
        <color rgb="FF34A853"/>
        <color rgb="FFFFD666"/>
        <color rgb="FFFF4848"/>
      </colorScale>
    </cfRule>
  </conditionalFormatting>
  <conditionalFormatting sqref="C85:AG85">
    <cfRule type="colorScale" priority="62">
      <colorScale>
        <cfvo type="min"/>
        <cfvo type="percentile" val="50"/>
        <cfvo type="max"/>
        <color rgb="FF34A853"/>
        <color rgb="FFFFD666"/>
        <color rgb="FFFF4848"/>
      </colorScale>
    </cfRule>
  </conditionalFormatting>
  <conditionalFormatting sqref="C87:AG87">
    <cfRule type="colorScale" priority="63">
      <colorScale>
        <cfvo type="min"/>
        <cfvo type="percentile" val="50"/>
        <cfvo type="max"/>
        <color rgb="FF34A853"/>
        <color rgb="FFFFD666"/>
        <color rgb="FFFF4848"/>
      </colorScale>
    </cfRule>
  </conditionalFormatting>
  <conditionalFormatting sqref="C88:AG88">
    <cfRule type="colorScale" priority="64">
      <colorScale>
        <cfvo type="min"/>
        <cfvo type="percentile" val="50"/>
        <cfvo type="max"/>
        <color rgb="FF34A853"/>
        <color rgb="FFFFD666"/>
        <color rgb="FFFF4848"/>
      </colorScale>
    </cfRule>
  </conditionalFormatting>
  <conditionalFormatting sqref="C90:AG90">
    <cfRule type="colorScale" priority="65">
      <colorScale>
        <cfvo type="min"/>
        <cfvo type="percentile" val="50"/>
        <cfvo type="max"/>
        <color rgb="FF34A853"/>
        <color rgb="FFFFD666"/>
        <color rgb="FFFF4848"/>
      </colorScale>
    </cfRule>
  </conditionalFormatting>
  <conditionalFormatting sqref="C91:AG91">
    <cfRule type="colorScale" priority="66">
      <colorScale>
        <cfvo type="min"/>
        <cfvo type="percentile" val="50"/>
        <cfvo type="max"/>
        <color rgb="FF34A853"/>
        <color rgb="FFFFD666"/>
        <color rgb="FFFF4848"/>
      </colorScale>
    </cfRule>
  </conditionalFormatting>
  <conditionalFormatting sqref="C92:AG92">
    <cfRule type="colorScale" priority="67">
      <colorScale>
        <cfvo type="min"/>
        <cfvo type="percentile" val="50"/>
        <cfvo type="max"/>
        <color rgb="FF34A853"/>
        <color rgb="FFFFD666"/>
        <color rgb="FFFF4848"/>
      </colorScale>
    </cfRule>
  </conditionalFormatting>
  <conditionalFormatting sqref="C93:AG93">
    <cfRule type="colorScale" priority="68">
      <colorScale>
        <cfvo type="min"/>
        <cfvo type="percentile" val="50"/>
        <cfvo type="max"/>
        <color rgb="FF34A853"/>
        <color rgb="FFFFD666"/>
        <color rgb="FFFF4848"/>
      </colorScale>
    </cfRule>
  </conditionalFormatting>
  <conditionalFormatting sqref="C95:AG95">
    <cfRule type="colorScale" priority="69">
      <colorScale>
        <cfvo type="min"/>
        <cfvo type="percentile" val="50"/>
        <cfvo type="max"/>
        <color rgb="FF34A853"/>
        <color rgb="FFFFD666"/>
        <color rgb="FFFF4848"/>
      </colorScale>
    </cfRule>
  </conditionalFormatting>
  <conditionalFormatting sqref="C96:AG96">
    <cfRule type="colorScale" priority="70">
      <colorScale>
        <cfvo type="min"/>
        <cfvo type="percentile" val="50"/>
        <cfvo type="max"/>
        <color rgb="FF34A853"/>
        <color rgb="FFFFD666"/>
        <color rgb="FFFF4848"/>
      </colorScale>
    </cfRule>
  </conditionalFormatting>
  <conditionalFormatting sqref="C97:AG97">
    <cfRule type="colorScale" priority="71">
      <colorScale>
        <cfvo type="min"/>
        <cfvo type="percentile" val="50"/>
        <cfvo type="max"/>
        <color rgb="FF34A853"/>
        <color rgb="FFFFD666"/>
        <color rgb="FFFF4848"/>
      </colorScale>
    </cfRule>
  </conditionalFormatting>
  <conditionalFormatting sqref="C98:AG98">
    <cfRule type="colorScale" priority="72">
      <colorScale>
        <cfvo type="min"/>
        <cfvo type="percentile" val="50"/>
        <cfvo type="max"/>
        <color rgb="FF34A853"/>
        <color rgb="FFFFD666"/>
        <color rgb="FFFF4848"/>
      </colorScale>
    </cfRule>
  </conditionalFormatting>
  <conditionalFormatting sqref="C100:AG100">
    <cfRule type="colorScale" priority="73">
      <colorScale>
        <cfvo type="min"/>
        <cfvo type="percentile" val="50"/>
        <cfvo type="max"/>
        <color rgb="FF34A853"/>
        <color rgb="FFFFD666"/>
        <color rgb="FFFF4848"/>
      </colorScale>
    </cfRule>
  </conditionalFormatting>
  <conditionalFormatting sqref="C101:AG101">
    <cfRule type="colorScale" priority="74">
      <colorScale>
        <cfvo type="min"/>
        <cfvo type="percentile" val="50"/>
        <cfvo type="max"/>
        <color rgb="FF34A853"/>
        <color rgb="FFFFD666"/>
        <color rgb="FFFF4848"/>
      </colorScale>
    </cfRule>
  </conditionalFormatting>
  <conditionalFormatting sqref="C102:AG102">
    <cfRule type="colorScale" priority="75">
      <colorScale>
        <cfvo type="min"/>
        <cfvo type="percentile" val="50"/>
        <cfvo type="max"/>
        <color rgb="FF34A853"/>
        <color rgb="FFFFD666"/>
        <color rgb="FFFF4848"/>
      </colorScale>
    </cfRule>
  </conditionalFormatting>
  <conditionalFormatting sqref="C72:AG72">
    <cfRule type="colorScale" priority="76">
      <colorScale>
        <cfvo type="min"/>
        <cfvo type="percentile" val="50"/>
        <cfvo type="max"/>
        <color rgb="FF34A853"/>
        <color rgb="FFFFD666"/>
        <color rgb="FFFF4848"/>
      </colorScale>
    </cfRule>
  </conditionalFormatting>
  <conditionalFormatting sqref="C80:AG80">
    <cfRule type="colorScale" priority="77">
      <colorScale>
        <cfvo type="min"/>
        <cfvo type="percentile" val="50"/>
        <cfvo type="max"/>
        <color rgb="FF34A853"/>
        <color rgb="FFFFD666"/>
        <color rgb="FFFF4848"/>
      </colorScale>
    </cfRule>
  </conditionalFormatting>
  <conditionalFormatting sqref="C86:AG86">
    <cfRule type="colorScale" priority="78">
      <colorScale>
        <cfvo type="min"/>
        <cfvo type="percentile" val="50"/>
        <cfvo type="max"/>
        <color rgb="FF34A853"/>
        <color rgb="FFFFD666"/>
        <color rgb="FFFF4848"/>
      </colorScale>
    </cfRule>
  </conditionalFormatting>
  <conditionalFormatting sqref="C89:AG89">
    <cfRule type="colorScale" priority="79">
      <colorScale>
        <cfvo type="min"/>
        <cfvo type="percentile" val="50"/>
        <cfvo type="max"/>
        <color rgb="FF34A853"/>
        <color rgb="FFFFD666"/>
        <color rgb="FFFF4848"/>
      </colorScale>
    </cfRule>
  </conditionalFormatting>
  <conditionalFormatting sqref="C94:AG94">
    <cfRule type="colorScale" priority="80">
      <colorScale>
        <cfvo type="min"/>
        <cfvo type="percentile" val="50"/>
        <cfvo type="max"/>
        <color rgb="FF34A853"/>
        <color rgb="FFFFD666"/>
        <color rgb="FFFF4848"/>
      </colorScale>
    </cfRule>
  </conditionalFormatting>
  <conditionalFormatting sqref="C99:AG99">
    <cfRule type="colorScale" priority="81">
      <colorScale>
        <cfvo type="min"/>
        <cfvo type="percentile" val="50"/>
        <cfvo type="max"/>
        <color rgb="FF34A853"/>
        <color rgb="FFFFD666"/>
        <color rgb="FFFF4848"/>
      </colorScale>
    </cfRule>
  </conditionalFormatting>
  <conditionalFormatting sqref="C104:AG104 C107:AG107">
    <cfRule type="colorScale" priority="82">
      <colorScale>
        <cfvo type="min"/>
        <cfvo type="percentile" val="50"/>
        <cfvo type="max"/>
        <color rgb="FF34A853"/>
        <color rgb="FFFFD666"/>
        <color rgb="FFFF4848"/>
      </colorScale>
    </cfRule>
  </conditionalFormatting>
  <conditionalFormatting sqref="C105:AG105 C108:AG108">
    <cfRule type="colorScale" priority="83">
      <colorScale>
        <cfvo type="min"/>
        <cfvo type="percentile" val="50"/>
        <cfvo type="max"/>
        <color rgb="FF34A853"/>
        <color rgb="FFFFD666"/>
        <color rgb="FFFF4848"/>
      </colorScale>
    </cfRule>
  </conditionalFormatting>
  <conditionalFormatting sqref="C110:AG110">
    <cfRule type="colorScale" priority="84">
      <colorScale>
        <cfvo type="min"/>
        <cfvo type="percentile" val="50"/>
        <cfvo type="max"/>
        <color rgb="FFEA4335"/>
        <color rgb="FFFFD666"/>
        <color rgb="FF34A853"/>
      </colorScale>
    </cfRule>
  </conditionalFormatting>
  <conditionalFormatting sqref="C125:AG125">
    <cfRule type="colorScale" priority="85">
      <colorScale>
        <cfvo type="min"/>
        <cfvo type="percentile" val="50"/>
        <cfvo type="max"/>
        <color rgb="FF57BB8A"/>
        <color rgb="FFFFD666"/>
        <color rgb="FFEA4335"/>
      </colorScale>
    </cfRule>
  </conditionalFormatting>
  <conditionalFormatting sqref="C126:AG126">
    <cfRule type="colorScale" priority="86">
      <colorScale>
        <cfvo type="min"/>
        <cfvo type="percentile" val="50"/>
        <cfvo type="max"/>
        <color rgb="FF34A853"/>
        <color rgb="FFFFD666"/>
        <color rgb="FFFF4848"/>
      </colorScale>
    </cfRule>
  </conditionalFormatting>
  <conditionalFormatting sqref="C127:AG127">
    <cfRule type="colorScale" priority="87">
      <colorScale>
        <cfvo type="min"/>
        <cfvo type="percentile" val="50"/>
        <cfvo type="max"/>
        <color rgb="FF34A853"/>
        <color rgb="FFFFD666"/>
        <color rgb="FFEA4335"/>
      </colorScale>
    </cfRule>
  </conditionalFormatting>
  <conditionalFormatting sqref="C113:AG120">
    <cfRule type="colorScale" priority="88">
      <colorScale>
        <cfvo type="min"/>
        <cfvo type="percentile" val="50"/>
        <cfvo type="max"/>
        <color rgb="FFEA4335"/>
        <color rgb="FFFFD666"/>
        <color rgb="FF34A853"/>
      </colorScale>
    </cfRule>
  </conditionalFormatting>
  <conditionalFormatting sqref="C123:AG124">
    <cfRule type="colorScale" priority="89">
      <colorScale>
        <cfvo type="min"/>
        <cfvo type="percentile" val="50"/>
        <cfvo type="max"/>
        <color rgb="FF34A853"/>
        <color rgb="FFFFD666"/>
        <color rgb="FFEA4335"/>
      </colorScale>
    </cfRule>
  </conditionalFormatting>
  <conditionalFormatting sqref="C17:AF17">
    <cfRule type="colorScale" priority="90">
      <colorScale>
        <cfvo type="min"/>
        <cfvo type="percentile" val="50"/>
        <cfvo type="max"/>
        <color rgb="FF34A853"/>
        <color rgb="FFFFD666"/>
        <color rgb="FFFF4848"/>
      </colorScale>
    </cfRule>
  </conditionalFormatting>
  <conditionalFormatting sqref="C18:AF19">
    <cfRule type="colorScale" priority="91">
      <colorScale>
        <cfvo type="min"/>
        <cfvo type="percentile" val="50"/>
        <cfvo type="max"/>
        <color rgb="FF34A853"/>
        <color rgb="FFFFD666"/>
        <color rgb="FFEA4335"/>
      </colorScale>
    </cfRule>
  </conditionalFormatting>
  <conditionalFormatting sqref="C20:AF20">
    <cfRule type="colorScale" priority="92">
      <colorScale>
        <cfvo type="min"/>
        <cfvo type="percentile" val="50"/>
        <cfvo type="max"/>
        <color rgb="FF34A853"/>
        <color rgb="FFFFD666"/>
        <color rgb="FFEA4335"/>
      </colorScale>
    </cfRule>
  </conditionalFormatting>
  <conditionalFormatting sqref="C21:AF21">
    <cfRule type="colorScale" priority="93">
      <colorScale>
        <cfvo type="min"/>
        <cfvo type="percentile" val="50"/>
        <cfvo type="max"/>
        <color rgb="FF34A853"/>
        <color rgb="FFFFD666"/>
        <color rgb="FFEA4335"/>
      </colorScale>
    </cfRule>
  </conditionalFormatting>
  <conditionalFormatting sqref="C22:AF22">
    <cfRule type="colorScale" priority="94">
      <colorScale>
        <cfvo type="min"/>
        <cfvo type="percentile" val="50"/>
        <cfvo type="max"/>
        <color rgb="FF34A853"/>
        <color rgb="FFFFD666"/>
        <color rgb="FFFF4848"/>
      </colorScale>
    </cfRule>
  </conditionalFormatting>
  <conditionalFormatting sqref="C23:AF23">
    <cfRule type="colorScale" priority="95">
      <colorScale>
        <cfvo type="min"/>
        <cfvo type="percentile" val="50"/>
        <cfvo type="max"/>
        <color rgb="FFEA4335"/>
        <color rgb="FFFFD666"/>
        <color rgb="FF34A853"/>
      </colorScale>
    </cfRule>
  </conditionalFormatting>
  <conditionalFormatting sqref="C24:AF24">
    <cfRule type="colorScale" priority="96">
      <colorScale>
        <cfvo type="min"/>
        <cfvo type="percentile" val="50"/>
        <cfvo type="max"/>
        <color rgb="FF34A853"/>
        <color rgb="FFFFD666"/>
        <color rgb="FFFF4848"/>
      </colorScale>
    </cfRule>
  </conditionalFormatting>
  <conditionalFormatting sqref="C111:AG111">
    <cfRule type="colorScale" priority="97">
      <colorScale>
        <cfvo type="min"/>
        <cfvo type="percentile" val="50"/>
        <cfvo type="max"/>
        <color rgb="FFFF4848"/>
        <color rgb="FFFFD666"/>
        <color rgb="FF34A853"/>
      </colorScale>
    </cfRule>
  </conditionalFormatting>
  <drawing r:id="rId1"/>
</worksheet>
</file>